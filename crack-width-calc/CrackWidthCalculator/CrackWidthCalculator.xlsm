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EL91323\Desktop\todo\rc-design-tools\crack-width-calc\CrackWidthCalculator\"/>
    </mc:Choice>
  </mc:AlternateContent>
  <xr:revisionPtr revIDLastSave="0" documentId="13_ncr:1_{1E565A8E-5AC2-41B9-8013-D7E487C99A3C}" xr6:coauthVersionLast="45" xr6:coauthVersionMax="45" xr10:uidLastSave="{00000000-0000-0000-0000-000000000000}"/>
  <bookViews>
    <workbookView xWindow="-28920" yWindow="-120" windowWidth="29040" windowHeight="15840" tabRatio="500" activeTab="5" xr2:uid="{00000000-000D-0000-FFFF-FFFF00000000}"/>
  </bookViews>
  <sheets>
    <sheet name="1" sheetId="3" r:id="rId1"/>
    <sheet name="2" sheetId="4" r:id="rId2"/>
    <sheet name="3" sheetId="5" r:id="rId3"/>
    <sheet name="4" sheetId="6" r:id="rId4"/>
    <sheet name="5" sheetId="7" r:id="rId5"/>
    <sheet name="6" sheetId="8" r:id="rId6"/>
    <sheet name="7" sheetId="9" r:id="rId7"/>
    <sheet name="8" sheetId="10" r:id="rId8"/>
    <sheet name="comments" sheetId="1" r:id="rId9"/>
    <sheet name="_xlwings.conf" sheetId="2" r:id="rId10"/>
    <sheet name="Sheet1" sheetId="11" r:id="rId1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crack_width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" i="8" l="1"/>
  <c r="C13" i="8"/>
  <c r="C13" i="10" l="1"/>
  <c r="C12" i="10"/>
  <c r="C11" i="10"/>
  <c r="C4" i="10"/>
  <c r="C16" i="8"/>
  <c r="C15" i="8"/>
  <c r="C3" i="8"/>
  <c r="C2" i="8"/>
  <c r="C9" i="8"/>
  <c r="C6" i="8"/>
  <c r="C8" i="8"/>
  <c r="C4" i="8"/>
  <c r="C9" i="7"/>
  <c r="C2" i="7"/>
  <c r="C13" i="6"/>
  <c r="C12" i="6"/>
  <c r="C10" i="6"/>
  <c r="C9" i="6"/>
  <c r="C4" i="6"/>
  <c r="P9" i="10" a="1"/>
  <c r="P6" i="8" a="1"/>
  <c r="P14" i="6" a="1"/>
  <c r="P3" i="7" a="1"/>
  <c r="P4" i="10" a="1"/>
  <c r="P5" i="8" a="1"/>
  <c r="P12" i="6" a="1"/>
  <c r="P10" i="6" a="1"/>
  <c r="P2" i="7" a="1"/>
  <c r="P2" i="10" a="1"/>
  <c r="P4" i="8" a="1"/>
  <c r="P11" i="6" a="1"/>
  <c r="P8" i="7" a="1"/>
  <c r="P15" i="8" a="1"/>
  <c r="P5" i="10" a="1"/>
  <c r="P2" i="8" a="1"/>
  <c r="P13" i="6" a="1"/>
  <c r="P3" i="10" a="1"/>
  <c r="P3" i="8" a="1"/>
  <c r="P9" i="6" a="1"/>
  <c r="P13" i="8" a="1"/>
  <c r="P8" i="8" a="1"/>
  <c r="P7" i="8" a="1"/>
  <c r="P9" i="7" a="1"/>
  <c r="P5" i="6" a="1"/>
  <c r="P17" i="8" a="1"/>
  <c r="P11" i="10" a="1"/>
  <c r="P16" i="8" a="1"/>
  <c r="P10" i="7" a="1"/>
  <c r="P4" i="6" a="1"/>
  <c r="P3" i="6" a="1"/>
  <c r="P2" i="6" a="1"/>
  <c r="P14" i="8" a="1"/>
  <c r="P14" i="10" a="1"/>
  <c r="P13" i="10" a="1"/>
  <c r="P7" i="7" a="1"/>
  <c r="P12" i="10" a="1"/>
  <c r="P10" i="10" a="1"/>
  <c r="P9" i="8" a="1"/>
  <c r="P13" i="10" l="1"/>
  <c r="P14" i="10"/>
  <c r="P9" i="10"/>
  <c r="P10" i="10"/>
  <c r="P11" i="10"/>
  <c r="P12" i="10"/>
  <c r="P3" i="10"/>
  <c r="P5" i="10"/>
  <c r="P2" i="10"/>
  <c r="P4" i="10"/>
  <c r="P7" i="8"/>
  <c r="P14" i="8"/>
  <c r="P15" i="8"/>
  <c r="P13" i="8"/>
  <c r="P17" i="8"/>
  <c r="P16" i="8"/>
  <c r="P9" i="8"/>
  <c r="P8" i="8"/>
  <c r="P6" i="8"/>
  <c r="P4" i="8"/>
  <c r="P5" i="8"/>
  <c r="P3" i="8"/>
  <c r="P2" i="8"/>
  <c r="P10" i="7"/>
  <c r="P9" i="7"/>
  <c r="P7" i="7"/>
  <c r="P8" i="7"/>
  <c r="P3" i="7"/>
  <c r="P2" i="7"/>
  <c r="P14" i="6"/>
  <c r="P13" i="6"/>
  <c r="P9" i="6"/>
  <c r="P10" i="6"/>
  <c r="P11" i="6"/>
  <c r="P12" i="6"/>
  <c r="P2" i="6"/>
  <c r="P3" i="6"/>
  <c r="P4" i="6"/>
  <c r="P5" i="6"/>
  <c r="C10" i="5"/>
  <c r="C9" i="5"/>
  <c r="C14" i="5"/>
  <c r="G14" i="5"/>
  <c r="C13" i="5"/>
  <c r="C11" i="5"/>
  <c r="G5" i="5"/>
  <c r="C3" i="5"/>
  <c r="C5" i="5"/>
  <c r="C2" i="5"/>
  <c r="C10" i="4"/>
  <c r="C8" i="4" s="1"/>
  <c r="C7" i="4"/>
  <c r="C3" i="7"/>
  <c r="C2" i="4"/>
  <c r="C3" i="4"/>
  <c r="P5" i="5" a="1"/>
  <c r="P3" i="5" a="1"/>
  <c r="P2" i="5" a="1"/>
  <c r="P14" i="5" a="1"/>
  <c r="P9" i="5" a="1"/>
  <c r="P10" i="4" a="1"/>
  <c r="P8" i="4" a="1"/>
  <c r="P3" i="4" a="1"/>
  <c r="P10" i="5" a="1"/>
  <c r="P4" i="5" a="1"/>
  <c r="P9" i="4" a="1"/>
  <c r="P2" i="4" a="1"/>
  <c r="P13" i="5" a="1"/>
  <c r="P7" i="4" a="1"/>
  <c r="P11" i="5" a="1"/>
  <c r="P14" i="5" l="1"/>
  <c r="P13" i="5"/>
  <c r="P11" i="5"/>
  <c r="P9" i="5"/>
  <c r="P10" i="5"/>
  <c r="P5" i="5"/>
  <c r="P4" i="5"/>
  <c r="P2" i="5"/>
  <c r="P3" i="5"/>
  <c r="P10" i="4"/>
  <c r="P9" i="4"/>
  <c r="P8" i="4"/>
  <c r="P7" i="4"/>
  <c r="P3" i="4"/>
  <c r="P2" i="4"/>
  <c r="C15" i="9"/>
  <c r="C18" i="9"/>
  <c r="C17" i="9"/>
  <c r="C16" i="9"/>
  <c r="C3" i="9"/>
  <c r="C2" i="9"/>
  <c r="C11" i="9"/>
  <c r="C10" i="9"/>
  <c r="C7" i="9"/>
  <c r="C6" i="9"/>
  <c r="C5" i="9"/>
  <c r="C4" i="9"/>
  <c r="P2" i="9" a="1"/>
  <c r="P3" i="9" a="1"/>
  <c r="P3" i="9" l="1"/>
  <c r="P2" i="9"/>
  <c r="P15" i="9" a="1"/>
  <c r="P10" i="9" a="1"/>
  <c r="P11" i="9" a="1"/>
  <c r="P17" i="9" a="1"/>
  <c r="P8" i="9" a="1"/>
  <c r="P16" i="9" a="1"/>
  <c r="P18" i="9" a="1"/>
  <c r="P9" i="9" a="1"/>
  <c r="P4" i="9" a="1"/>
  <c r="P5" i="9" a="1"/>
  <c r="P8" i="9" l="1"/>
  <c r="P11" i="9"/>
  <c r="P9" i="9"/>
  <c r="P5" i="9"/>
  <c r="P15" i="9"/>
  <c r="P17" i="9"/>
  <c r="P4" i="9"/>
  <c r="P18" i="9"/>
  <c r="P16" i="9"/>
  <c r="P10" i="9"/>
  <c r="C15" i="3" l="1"/>
  <c r="C14" i="3"/>
  <c r="C16" i="3"/>
  <c r="C17" i="3"/>
  <c r="C7" i="3" l="1"/>
  <c r="C6" i="3"/>
  <c r="C10" i="3"/>
  <c r="C11" i="3"/>
  <c r="C9" i="3"/>
  <c r="C8" i="3"/>
  <c r="G10" i="3"/>
  <c r="G11" i="3"/>
  <c r="G6" i="3"/>
  <c r="P17" i="3" a="1"/>
  <c r="P11" i="3" a="1"/>
  <c r="P7" i="3" a="1"/>
  <c r="P4" i="3" a="1"/>
  <c r="P6" i="3" a="1"/>
  <c r="P2" i="3" a="1"/>
  <c r="P5" i="3" a="1"/>
  <c r="P16" i="3" a="1"/>
  <c r="P14" i="3" a="1"/>
  <c r="P15" i="3" a="1"/>
  <c r="P9" i="3" a="1"/>
  <c r="P10" i="3" a="1"/>
  <c r="P8" i="3" a="1"/>
  <c r="P3" i="3" a="1"/>
  <c r="P17" i="3" l="1"/>
  <c r="P16" i="3"/>
  <c r="P15" i="3"/>
  <c r="P14" i="3"/>
  <c r="P4" i="3"/>
  <c r="P8" i="3"/>
  <c r="P7" i="3"/>
  <c r="P6" i="3"/>
  <c r="P9" i="3"/>
  <c r="P11" i="3"/>
  <c r="P5" i="3"/>
  <c r="P10" i="3"/>
  <c r="P3" i="3"/>
  <c r="P2" i="3"/>
  <c r="C2" i="3"/>
  <c r="C10" i="10"/>
  <c r="C3" i="10"/>
  <c r="C8" i="7"/>
  <c r="C7" i="7"/>
  <c r="C3" i="6"/>
  <c r="C2" i="6"/>
  <c r="C5" i="3"/>
  <c r="C3" i="3" s="1"/>
  <c r="C4" i="3"/>
  <c r="C2" i="10" l="1"/>
  <c r="C9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<sst xmlns="http://schemas.openxmlformats.org/spreadsheetml/2006/main" count="464" uniqueCount="81">
  <si>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</si>
  <si>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</si>
  <si>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</si>
  <si>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</si>
  <si>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</si>
  <si>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</si>
  <si>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</si>
  <si>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</si>
  <si>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</si>
  <si>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</si>
  <si>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</si>
  <si>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</si>
  <si>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</si>
  <si>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</si>
  <si>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</si>
  <si>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Top/outer Location</t>
  </si>
  <si>
    <t>Local/Global Dir.</t>
  </si>
  <si>
    <r>
      <t>Zone Area (m</t>
    </r>
    <r>
      <rPr>
        <b/>
        <vertAlign val="superscript"/>
        <sz val="8"/>
        <color theme="1"/>
        <rFont val="Arial"/>
        <family val="2"/>
      </rPr>
      <t>2</t>
    </r>
    <r>
      <rPr>
        <b/>
        <sz val="8"/>
        <color theme="1"/>
        <rFont val="Arial"/>
        <family val="2"/>
      </rPr>
      <t>)</t>
    </r>
  </si>
  <si>
    <r>
      <t>M</t>
    </r>
    <r>
      <rPr>
        <b/>
        <vertAlign val="subscript"/>
        <sz val="8"/>
        <color theme="1"/>
        <rFont val="Arial"/>
        <family val="2"/>
      </rPr>
      <t xml:space="preserve">sls,max </t>
    </r>
    <r>
      <rPr>
        <b/>
        <sz val="8"/>
        <color theme="1"/>
        <rFont val="Arial"/>
        <family val="2"/>
      </rPr>
      <t>(kNm/m)</t>
    </r>
  </si>
  <si>
    <r>
      <t>1</t>
    </r>
    <r>
      <rPr>
        <b/>
        <vertAlign val="superscript"/>
        <sz val="8"/>
        <color theme="1"/>
        <rFont val="Arial"/>
        <family val="2"/>
      </rPr>
      <t>st</t>
    </r>
    <r>
      <rPr>
        <b/>
        <sz val="8"/>
        <color theme="1"/>
        <rFont val="Arial"/>
        <family val="2"/>
      </rPr>
      <t xml:space="preserve"> layer</t>
    </r>
  </si>
  <si>
    <r>
      <t>2</t>
    </r>
    <r>
      <rPr>
        <b/>
        <vertAlign val="superscript"/>
        <sz val="8"/>
        <color theme="1"/>
        <rFont val="Arial"/>
        <family val="2"/>
      </rPr>
      <t>nd</t>
    </r>
    <r>
      <rPr>
        <b/>
        <sz val="8"/>
        <color theme="1"/>
        <rFont val="Arial"/>
        <family val="2"/>
      </rPr>
      <t xml:space="preserve"> layer</t>
    </r>
  </si>
  <si>
    <t>Global Direction</t>
  </si>
  <si>
    <t xml:space="preserve">SLS shear resistance (kN) </t>
  </si>
  <si>
    <t>Standard</t>
  </si>
  <si>
    <t>XX</t>
  </si>
  <si>
    <t>@</t>
  </si>
  <si>
    <t>Outer</t>
  </si>
  <si>
    <t>YY</t>
  </si>
  <si>
    <t>Central col.</t>
  </si>
  <si>
    <t xml:space="preserve">RHS edge </t>
  </si>
  <si>
    <t>LHS Edge</t>
  </si>
  <si>
    <t>Top+Bot edges</t>
  </si>
  <si>
    <t xml:space="preserve">Total </t>
  </si>
  <si>
    <t>Bot/inner Location</t>
  </si>
  <si>
    <t>Inner</t>
  </si>
  <si>
    <t xml:space="preserve">Top+Bot mid span </t>
  </si>
  <si>
    <t>Top/Inner Location</t>
  </si>
  <si>
    <t>Local/Global</t>
  </si>
  <si>
    <t>YY/ZZ</t>
  </si>
  <si>
    <t>ZZ</t>
  </si>
  <si>
    <t>Bot/Outer Location</t>
  </si>
  <si>
    <r>
      <t>Zone Area (m</t>
    </r>
    <r>
      <rPr>
        <b/>
        <vertAlign val="superscript"/>
        <sz val="8"/>
        <color theme="1"/>
        <rFont val="Arial "/>
      </rPr>
      <t>2</t>
    </r>
    <r>
      <rPr>
        <b/>
        <sz val="8"/>
        <color theme="1"/>
        <rFont val="Arial "/>
      </rPr>
      <t>)</t>
    </r>
  </si>
  <si>
    <r>
      <t>M</t>
    </r>
    <r>
      <rPr>
        <b/>
        <vertAlign val="subscript"/>
        <sz val="8"/>
        <color theme="1"/>
        <rFont val="Arial "/>
      </rPr>
      <t xml:space="preserve">sls,max </t>
    </r>
    <r>
      <rPr>
        <b/>
        <sz val="8"/>
        <color theme="1"/>
        <rFont val="Arial "/>
      </rPr>
      <t>(kNm/m)</t>
    </r>
  </si>
  <si>
    <t xml:space="preserve">Standard </t>
  </si>
  <si>
    <t>XX/ZZ</t>
  </si>
  <si>
    <t xml:space="preserve">Bot edge </t>
  </si>
  <si>
    <t xml:space="preserve">Mid panel </t>
  </si>
  <si>
    <t>Bot/outer Location</t>
  </si>
  <si>
    <t>Top/inner Location</t>
  </si>
  <si>
    <t>Checks</t>
  </si>
  <si>
    <t>Shear</t>
  </si>
  <si>
    <r>
      <t>Zone Area (m</t>
    </r>
    <r>
      <rPr>
        <vertAlign val="superscript"/>
        <sz val="8"/>
        <color theme="1"/>
        <rFont val="Arial"/>
        <family val="2"/>
      </rPr>
      <t>2</t>
    </r>
    <r>
      <rPr>
        <sz val="8"/>
        <color theme="1"/>
        <rFont val="Arial"/>
        <family val="2"/>
      </rPr>
      <t>)</t>
    </r>
  </si>
  <si>
    <r>
      <t>M</t>
    </r>
    <r>
      <rPr>
        <vertAlign val="subscript"/>
        <sz val="8"/>
        <color theme="1"/>
        <rFont val="Arial"/>
        <family val="2"/>
      </rPr>
      <t xml:space="preserve">sls,max </t>
    </r>
    <r>
      <rPr>
        <sz val="8"/>
        <color theme="1"/>
        <rFont val="Arial"/>
        <family val="2"/>
      </rPr>
      <t>(kNm/m)</t>
    </r>
  </si>
  <si>
    <r>
      <t>1</t>
    </r>
    <r>
      <rPr>
        <vertAlign val="superscript"/>
        <sz val="8"/>
        <color theme="1"/>
        <rFont val="Arial"/>
        <family val="2"/>
      </rPr>
      <t>st</t>
    </r>
    <r>
      <rPr>
        <sz val="8"/>
        <color theme="1"/>
        <rFont val="Arial"/>
        <family val="2"/>
      </rPr>
      <t xml:space="preserve"> layer</t>
    </r>
  </si>
  <si>
    <r>
      <t>2</t>
    </r>
    <r>
      <rPr>
        <vertAlign val="superscript"/>
        <sz val="8"/>
        <color theme="1"/>
        <rFont val="Arial"/>
        <family val="2"/>
      </rPr>
      <t>nd</t>
    </r>
    <r>
      <rPr>
        <sz val="8"/>
        <color theme="1"/>
        <rFont val="Arial"/>
        <family val="2"/>
      </rPr>
      <t xml:space="preserve"> layer</t>
    </r>
  </si>
  <si>
    <t xml:space="preserve">Checks without shear </t>
  </si>
  <si>
    <t>Shear Diameter if present (mm) [1]</t>
  </si>
  <si>
    <t>[1]</t>
  </si>
  <si>
    <t xml:space="preserve">If shear is present, covers are increased by the length of the shear reinforcement </t>
  </si>
  <si>
    <t>Panel Enum.</t>
  </si>
  <si>
    <r>
      <t>M</t>
    </r>
    <r>
      <rPr>
        <vertAlign val="subscript"/>
        <sz val="8"/>
        <color rgb="FF000000"/>
        <rFont val="Arial"/>
        <family val="2"/>
      </rPr>
      <t>sls</t>
    </r>
    <r>
      <rPr>
        <sz val="8"/>
        <color rgb="FF000000"/>
        <rFont val="Arial"/>
        <family val="2"/>
      </rPr>
      <t xml:space="preserve"> resist with B25@250 (kNm/m)</t>
    </r>
  </si>
  <si>
    <t>1 – Horizontal</t>
  </si>
  <si>
    <t>7,8 – Horizontal</t>
  </si>
  <si>
    <t xml:space="preserve">RHS edge+front shaft </t>
  </si>
  <si>
    <t xml:space="preserve">RHS side shaft </t>
  </si>
  <si>
    <t xml:space="preserve">Shear resistance </t>
  </si>
  <si>
    <t xml:space="preserve">2,3,9 – Vertical </t>
  </si>
  <si>
    <t xml:space="preserve">4,5,6,10 – Vertical </t>
  </si>
  <si>
    <t>c_nom</t>
  </si>
  <si>
    <t xml:space="preserve">c_dur </t>
  </si>
  <si>
    <t xml:space="preserve">Top+Bot edge </t>
  </si>
  <si>
    <t xml:space="preserve">Intersection with top slab </t>
  </si>
  <si>
    <t xml:space="preserve">Top half panel </t>
  </si>
  <si>
    <t>Side  edges</t>
  </si>
  <si>
    <t xml:space="preserve">TRUE </t>
  </si>
  <si>
    <t>Bot edge</t>
  </si>
  <si>
    <t xml:space="preserve">Top Slab edge </t>
  </si>
  <si>
    <t>Shaft edges</t>
  </si>
  <si>
    <t>Mid panel</t>
  </si>
  <si>
    <t>Column</t>
  </si>
  <si>
    <t>Side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</si>
</sst>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Arial"/>
      <family val="2"/>
    </font>
    <font>
      <b/>
      <vertAlign val="superscript"/>
      <sz val="8"/>
      <color theme="1"/>
      <name val="Arial"/>
      <family val="2"/>
    </font>
    <font>
      <b/>
      <vertAlign val="subscript"/>
      <sz val="8"/>
      <color theme="1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vertAlign val="superscript"/>
      <sz val="8"/>
      <color theme="1"/>
      <name val="Arial"/>
      <family val="2"/>
    </font>
    <font>
      <sz val="8"/>
      <color theme="1"/>
      <name val="Arial "/>
    </font>
    <font>
      <b/>
      <sz val="8"/>
      <color theme="1"/>
      <name val="Arial "/>
    </font>
    <font>
      <sz val="8"/>
      <color rgb="FF000000"/>
      <name val="Arial"/>
      <family val="2"/>
    </font>
    <font>
      <sz val="11"/>
      <color theme="1"/>
      <name val="Arial "/>
    </font>
    <font>
      <b/>
      <vertAlign val="superscript"/>
      <sz val="8"/>
      <color theme="1"/>
      <name val="Arial "/>
    </font>
    <font>
      <b/>
      <vertAlign val="subscript"/>
      <sz val="8"/>
      <color theme="1"/>
      <name val="Arial "/>
    </font>
    <font>
      <b/>
      <sz val="9"/>
      <color theme="1"/>
      <name val="Arial "/>
    </font>
    <font>
      <vertAlign val="subscript"/>
      <sz val="8"/>
      <color theme="1"/>
      <name val="Arial"/>
      <family val="2"/>
    </font>
    <font>
      <b/>
      <sz val="8"/>
      <color rgb="FFFF0000"/>
      <name val="Arial"/>
      <family val="2"/>
    </font>
    <font>
      <vertAlign val="subscript"/>
      <sz val="8"/>
      <color rgb="FF000000"/>
      <name val="Arial"/>
      <family val="2"/>
    </font>
    <font>
      <sz val="8"/>
      <color rgb="FF0D0D0D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  <border>
      <left/>
      <right/>
      <top style="medium">
        <color rgb="FFBFBFBF"/>
      </top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</borders>
  <cellStyleXfs count="2">
    <xf numFmtId="0" fontId="0" fillId="0" borderId="0"/>
    <xf numFmtId="0" fontId="1" fillId="0" borderId="0"/>
  </cellStyleXfs>
  <cellXfs count="8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1" xfId="1" applyFont="1" applyBorder="1" applyAlignment="1">
      <alignment horizontal="right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1" fillId="0" borderId="0" xfId="1"/>
    <xf numFmtId="0" fontId="6" fillId="0" borderId="6" xfId="1" applyFont="1" applyBorder="1" applyAlignment="1">
      <alignment horizontal="right" vertical="center" wrapText="1"/>
    </xf>
    <xf numFmtId="0" fontId="6" fillId="0" borderId="7" xfId="1" applyFont="1" applyBorder="1" applyAlignment="1">
      <alignment horizontal="center" vertical="center" wrapText="1"/>
    </xf>
    <xf numFmtId="2" fontId="6" fillId="0" borderId="7" xfId="1" applyNumberFormat="1" applyFont="1" applyBorder="1" applyAlignment="1">
      <alignment horizontal="center" vertical="center" wrapText="1"/>
    </xf>
    <xf numFmtId="1" fontId="6" fillId="0" borderId="7" xfId="1" applyNumberFormat="1" applyFont="1" applyBorder="1" applyAlignment="1">
      <alignment horizontal="center" vertical="center" wrapText="1"/>
    </xf>
    <xf numFmtId="164" fontId="6" fillId="0" borderId="7" xfId="1" applyNumberFormat="1" applyFont="1" applyBorder="1" applyAlignment="1">
      <alignment horizontal="center" vertical="center" wrapText="1"/>
    </xf>
    <xf numFmtId="0" fontId="3" fillId="0" borderId="6" xfId="1" applyFont="1" applyBorder="1" applyAlignment="1">
      <alignment horizontal="right" vertical="center" wrapText="1"/>
    </xf>
    <xf numFmtId="0" fontId="7" fillId="0" borderId="0" xfId="1" applyFont="1" applyAlignment="1">
      <alignment vertical="center" wrapText="1"/>
    </xf>
    <xf numFmtId="2" fontId="6" fillId="0" borderId="0" xfId="1" applyNumberFormat="1" applyFont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9" fillId="0" borderId="0" xfId="1" applyFont="1" applyAlignment="1">
      <alignment horizontal="left" vertical="center"/>
    </xf>
    <xf numFmtId="0" fontId="10" fillId="0" borderId="1" xfId="1" applyFont="1" applyBorder="1" applyAlignment="1">
      <alignment horizontal="right" vertical="center" wrapText="1"/>
    </xf>
    <xf numFmtId="0" fontId="10" fillId="0" borderId="1" xfId="1" applyFont="1" applyBorder="1" applyAlignment="1">
      <alignment horizontal="center" vertical="center" wrapText="1"/>
    </xf>
    <xf numFmtId="0" fontId="9" fillId="0" borderId="6" xfId="1" applyFont="1" applyBorder="1" applyAlignment="1">
      <alignment horizontal="right" vertical="center" wrapText="1"/>
    </xf>
    <xf numFmtId="0" fontId="9" fillId="0" borderId="7" xfId="1" applyFont="1" applyBorder="1" applyAlignment="1">
      <alignment horizontal="center" vertical="center" wrapText="1"/>
    </xf>
    <xf numFmtId="2" fontId="9" fillId="0" borderId="7" xfId="1" applyNumberFormat="1" applyFont="1" applyBorder="1" applyAlignment="1">
      <alignment horizontal="center" vertical="center" wrapText="1"/>
    </xf>
    <xf numFmtId="0" fontId="10" fillId="0" borderId="6" xfId="1" applyFont="1" applyBorder="1" applyAlignment="1">
      <alignment horizontal="right" vertical="center" wrapText="1"/>
    </xf>
    <xf numFmtId="0" fontId="12" fillId="0" borderId="5" xfId="1" applyFont="1" applyBorder="1"/>
    <xf numFmtId="0" fontId="6" fillId="0" borderId="0" xfId="1" applyFont="1" applyAlignment="1">
      <alignment vertical="center" wrapText="1"/>
    </xf>
    <xf numFmtId="0" fontId="10" fillId="0" borderId="2" xfId="1" applyFont="1" applyBorder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1" fontId="6" fillId="0" borderId="0" xfId="1" applyNumberFormat="1" applyFont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11" fillId="0" borderId="2" xfId="1" applyFont="1" applyBorder="1" applyAlignment="1">
      <alignment horizontal="center" vertical="center" wrapText="1"/>
    </xf>
    <xf numFmtId="0" fontId="11" fillId="0" borderId="0" xfId="1" applyFont="1" applyAlignment="1">
      <alignment vertical="center" wrapText="1"/>
    </xf>
    <xf numFmtId="0" fontId="15" fillId="0" borderId="1" xfId="1" applyFont="1" applyBorder="1" applyAlignment="1">
      <alignment horizontal="right" vertical="center" wrapText="1"/>
    </xf>
    <xf numFmtId="0" fontId="3" fillId="2" borderId="2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2" fontId="3" fillId="0" borderId="7" xfId="1" applyNumberFormat="1" applyFont="1" applyBorder="1" applyAlignment="1">
      <alignment horizontal="center" vertical="center" wrapText="1"/>
    </xf>
    <xf numFmtId="0" fontId="17" fillId="0" borderId="7" xfId="1" applyFont="1" applyBorder="1" applyAlignment="1">
      <alignment horizontal="center" vertical="center" wrapText="1"/>
    </xf>
    <xf numFmtId="1" fontId="3" fillId="0" borderId="7" xfId="1" applyNumberFormat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1" fontId="6" fillId="0" borderId="2" xfId="1" applyNumberFormat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2" fontId="6" fillId="0" borderId="7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center" wrapText="1"/>
    </xf>
    <xf numFmtId="0" fontId="11" fillId="0" borderId="0" xfId="0" applyFont="1" applyBorder="1" applyAlignment="1">
      <alignment vertical="center" wrapText="1"/>
    </xf>
    <xf numFmtId="0" fontId="6" fillId="0" borderId="2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1" fillId="0" borderId="0" xfId="1" applyAlignment="1"/>
    <xf numFmtId="2" fontId="6" fillId="0" borderId="5" xfId="1" applyNumberFormat="1" applyFont="1" applyBorder="1" applyAlignment="1">
      <alignment vertical="center" wrapText="1"/>
    </xf>
    <xf numFmtId="2" fontId="6" fillId="0" borderId="0" xfId="1" applyNumberFormat="1" applyFont="1" applyBorder="1" applyAlignment="1">
      <alignment vertical="center" wrapText="1"/>
    </xf>
    <xf numFmtId="1" fontId="9" fillId="0" borderId="7" xfId="1" applyNumberFormat="1" applyFont="1" applyBorder="1" applyAlignment="1">
      <alignment horizontal="center" vertical="center" wrapText="1"/>
    </xf>
    <xf numFmtId="0" fontId="12" fillId="0" borderId="3" xfId="1" applyFont="1" applyBorder="1" applyAlignment="1"/>
    <xf numFmtId="0" fontId="12" fillId="0" borderId="4" xfId="1" applyFont="1" applyBorder="1" applyAlignment="1"/>
    <xf numFmtId="1" fontId="12" fillId="0" borderId="4" xfId="1" applyNumberFormat="1" applyFont="1" applyBorder="1" applyAlignment="1"/>
    <xf numFmtId="1" fontId="10" fillId="0" borderId="2" xfId="1" applyNumberFormat="1" applyFont="1" applyBorder="1" applyAlignment="1">
      <alignment horizontal="center" vertical="center" wrapText="1"/>
    </xf>
    <xf numFmtId="0" fontId="12" fillId="0" borderId="5" xfId="1" applyFont="1" applyBorder="1" applyAlignment="1"/>
    <xf numFmtId="0" fontId="3" fillId="0" borderId="3" xfId="1" applyFont="1" applyBorder="1" applyAlignment="1">
      <alignment vertical="center" wrapText="1"/>
    </xf>
    <xf numFmtId="0" fontId="3" fillId="0" borderId="4" xfId="1" applyFont="1" applyBorder="1" applyAlignment="1">
      <alignment vertical="center" wrapText="1"/>
    </xf>
    <xf numFmtId="0" fontId="3" fillId="0" borderId="2" xfId="1" applyFont="1" applyBorder="1" applyAlignment="1">
      <alignment vertical="center" wrapText="1"/>
    </xf>
    <xf numFmtId="0" fontId="12" fillId="0" borderId="2" xfId="1" applyFont="1" applyBorder="1" applyAlignment="1"/>
    <xf numFmtId="0" fontId="6" fillId="0" borderId="3" xfId="1" applyFont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3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12" fillId="0" borderId="5" xfId="1" applyFont="1" applyBorder="1" applyAlignment="1">
      <alignment horizontal="center"/>
    </xf>
    <xf numFmtId="0" fontId="11" fillId="0" borderId="3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justify" vertical="center" wrapText="1"/>
    </xf>
    <xf numFmtId="0" fontId="11" fillId="0" borderId="6" xfId="0" applyFont="1" applyBorder="1" applyAlignment="1">
      <alignment horizontal="justify" vertical="center" wrapText="1"/>
    </xf>
  </cellXfs>
  <cellStyles count="2">
    <cellStyle name="Normal" xfId="0" builtinId="0"/>
    <cellStyle name="Normal 2" xfId="1" xr:uid="{7C7A718A-2342-4E7B-8C2F-2CFF60EEA935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DC80-2A67-4A44-800B-4FC983F0FCC9}">
  <sheetPr codeName="Sheet3"/>
  <dimension ref="A1:P18"/>
  <sheetViews>
    <sheetView zoomScale="115" zoomScaleNormal="115" workbookViewId="0">
      <selection activeCell="G14" sqref="G14:G17"/>
    </sheetView>
  </sheetViews>
  <sheetFormatPr defaultRowHeight="15"/>
  <cols>
    <col min="1" max="1" width="12.625" style="7" customWidth="1"/>
    <col min="2" max="2" width="9.625" style="7" customWidth="1"/>
    <col min="3" max="3" width="8.25" style="7" customWidth="1"/>
    <col min="4" max="6" width="8.25" style="7" hidden="1" customWidth="1"/>
    <col min="7" max="7" width="9.375" style="7" customWidth="1"/>
    <col min="8" max="8" width="2.875" style="7" customWidth="1"/>
    <col min="9" max="9" width="1.875" style="7" bestFit="1" customWidth="1"/>
    <col min="10" max="10" width="3.875" style="7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10" style="7" customWidth="1"/>
    <col min="17" max="16384" width="9" style="7"/>
  </cols>
  <sheetData>
    <row r="1" spans="1:16" ht="45.75" thickBot="1">
      <c r="A1" s="3" t="s">
        <v>15</v>
      </c>
      <c r="B1" s="4" t="s">
        <v>16</v>
      </c>
      <c r="C1" s="6" t="s">
        <v>17</v>
      </c>
      <c r="D1" s="16" t="s">
        <v>68</v>
      </c>
      <c r="E1" s="16"/>
      <c r="F1" s="16" t="s">
        <v>69</v>
      </c>
      <c r="G1" s="6" t="s">
        <v>18</v>
      </c>
      <c r="H1" s="69" t="s">
        <v>19</v>
      </c>
      <c r="I1" s="70"/>
      <c r="J1" s="71"/>
      <c r="K1" s="69" t="s">
        <v>20</v>
      </c>
      <c r="L1" s="70"/>
      <c r="M1" s="71"/>
      <c r="N1" s="41" t="s">
        <v>50</v>
      </c>
      <c r="O1" s="16" t="s">
        <v>56</v>
      </c>
      <c r="P1" s="36" t="s">
        <v>55</v>
      </c>
    </row>
    <row r="2" spans="1:16" ht="15.75" thickBot="1">
      <c r="A2" s="8" t="s">
        <v>23</v>
      </c>
      <c r="B2" s="9" t="s">
        <v>24</v>
      </c>
      <c r="C2" s="10">
        <f>$C$12-C4-C6-C8-C10</f>
        <v>280.55000000000007</v>
      </c>
      <c r="D2" s="11">
        <v>65</v>
      </c>
      <c r="E2" s="11">
        <v>75</v>
      </c>
      <c r="F2" s="11">
        <v>55</v>
      </c>
      <c r="G2" s="11">
        <v>215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0.29345787650468563</v>
      </c>
    </row>
    <row r="3" spans="1:16" ht="15.75" thickBot="1">
      <c r="A3" s="8" t="s">
        <v>23</v>
      </c>
      <c r="B3" s="9" t="s">
        <v>27</v>
      </c>
      <c r="C3" s="10">
        <f>$C$12-C5-C7-C9-C11</f>
        <v>277.25000000000006</v>
      </c>
      <c r="D3" s="11">
        <v>40</v>
      </c>
      <c r="E3" s="11">
        <v>50</v>
      </c>
      <c r="F3" s="11">
        <v>30</v>
      </c>
      <c r="G3" s="11">
        <v>165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0.29799003372680327</v>
      </c>
    </row>
    <row r="4" spans="1:16" ht="15.75" thickBot="1">
      <c r="A4" s="8" t="s">
        <v>28</v>
      </c>
      <c r="B4" s="9" t="s">
        <v>24</v>
      </c>
      <c r="C4" s="10">
        <f>3*3</f>
        <v>9</v>
      </c>
      <c r="D4" s="11">
        <v>65</v>
      </c>
      <c r="E4" s="11">
        <v>75</v>
      </c>
      <c r="F4" s="11">
        <v>55</v>
      </c>
      <c r="G4" s="11">
        <v>620</v>
      </c>
      <c r="H4" s="9">
        <v>25</v>
      </c>
      <c r="I4" s="9" t="s">
        <v>25</v>
      </c>
      <c r="J4" s="9">
        <v>125</v>
      </c>
      <c r="K4" s="9">
        <v>25</v>
      </c>
      <c r="L4" s="9" t="s">
        <v>25</v>
      </c>
      <c r="M4" s="9">
        <v>250</v>
      </c>
      <c r="N4" s="10" t="b">
        <v>0</v>
      </c>
      <c r="O4" s="10"/>
      <c r="P4" s="12" cm="1">
        <f t="array" ref="P4">get_crack_width(D4,E4,F4,G4, N4, O4,H4,J4,K4,M4)</f>
        <v>0.21462130330558893</v>
      </c>
    </row>
    <row r="5" spans="1:16" ht="15.75" thickBot="1">
      <c r="A5" s="8" t="s">
        <v>28</v>
      </c>
      <c r="B5" s="9" t="s">
        <v>27</v>
      </c>
      <c r="C5" s="10">
        <f>3*3</f>
        <v>9</v>
      </c>
      <c r="D5" s="11">
        <v>40</v>
      </c>
      <c r="E5" s="11">
        <v>50</v>
      </c>
      <c r="F5" s="11">
        <v>30</v>
      </c>
      <c r="G5" s="11">
        <v>680</v>
      </c>
      <c r="H5" s="9">
        <v>25</v>
      </c>
      <c r="I5" s="9" t="s">
        <v>25</v>
      </c>
      <c r="J5" s="9">
        <v>125</v>
      </c>
      <c r="K5" s="9">
        <v>20</v>
      </c>
      <c r="L5" s="9" t="s">
        <v>25</v>
      </c>
      <c r="M5" s="9">
        <v>250</v>
      </c>
      <c r="N5" s="10" t="b">
        <v>0</v>
      </c>
      <c r="O5" s="10"/>
      <c r="P5" s="12" cm="1">
        <f t="array" ref="P5">get_crack_width(D5,E5,F5,G5, N5, O5,H5,J5,K5,M5)</f>
        <v>0.18182872786301132</v>
      </c>
    </row>
    <row r="6" spans="1:16" ht="23.25" thickBot="1">
      <c r="A6" s="8" t="s">
        <v>63</v>
      </c>
      <c r="B6" s="9" t="s">
        <v>24</v>
      </c>
      <c r="C6" s="10">
        <f>11.75*2+2*9.05*2</f>
        <v>59.7</v>
      </c>
      <c r="D6" s="11">
        <v>65</v>
      </c>
      <c r="E6" s="11">
        <v>75</v>
      </c>
      <c r="F6" s="11">
        <v>55</v>
      </c>
      <c r="G6" s="11">
        <f>430*0.65</f>
        <v>279.5</v>
      </c>
      <c r="H6" s="9">
        <v>25</v>
      </c>
      <c r="I6" s="9" t="s">
        <v>25</v>
      </c>
      <c r="J6" s="9">
        <v>250</v>
      </c>
      <c r="K6" s="9">
        <v>20</v>
      </c>
      <c r="L6" s="9" t="s">
        <v>25</v>
      </c>
      <c r="M6" s="9">
        <v>250</v>
      </c>
      <c r="N6" s="10" t="b">
        <v>1</v>
      </c>
      <c r="O6" s="11">
        <v>10</v>
      </c>
      <c r="P6" s="12" cm="1">
        <f t="array" ref="P6">get_crack_width(D6,E6,F6,G6, N6, O6,H6,J6,K6,M6)</f>
        <v>0.19762327897064119</v>
      </c>
    </row>
    <row r="7" spans="1:16" ht="23.25" thickBot="1">
      <c r="A7" s="8" t="s">
        <v>63</v>
      </c>
      <c r="B7" s="9" t="s">
        <v>27</v>
      </c>
      <c r="C7" s="10">
        <f>11.75*2+2*9.05*2</f>
        <v>59.7</v>
      </c>
      <c r="D7" s="11">
        <v>40</v>
      </c>
      <c r="E7" s="11">
        <v>50</v>
      </c>
      <c r="F7" s="11">
        <v>30</v>
      </c>
      <c r="G7" s="11">
        <v>190</v>
      </c>
      <c r="H7" s="9">
        <v>25</v>
      </c>
      <c r="I7" s="9" t="s">
        <v>25</v>
      </c>
      <c r="J7" s="9">
        <v>250</v>
      </c>
      <c r="K7" s="9"/>
      <c r="L7" s="9" t="s">
        <v>25</v>
      </c>
      <c r="M7" s="9"/>
      <c r="N7" s="10" t="b">
        <v>1</v>
      </c>
      <c r="O7" s="11">
        <v>10</v>
      </c>
      <c r="P7" s="12" cm="1">
        <f t="array" ref="P7">get_crack_width(D7,E7,F7,G7, N7, O7,H7,J7,K7,M7)</f>
        <v>0.1928055004358244</v>
      </c>
    </row>
    <row r="8" spans="1:16" ht="15.75" thickBot="1">
      <c r="A8" s="8" t="s">
        <v>64</v>
      </c>
      <c r="B8" s="9" t="s">
        <v>24</v>
      </c>
      <c r="C8" s="10">
        <f>2*4.45</f>
        <v>8.9</v>
      </c>
      <c r="D8" s="11">
        <v>65</v>
      </c>
      <c r="E8" s="11">
        <v>75</v>
      </c>
      <c r="F8" s="11">
        <v>55</v>
      </c>
      <c r="G8" s="11">
        <v>170</v>
      </c>
      <c r="H8" s="9">
        <v>25</v>
      </c>
      <c r="I8" s="9" t="s">
        <v>25</v>
      </c>
      <c r="J8" s="9">
        <v>250</v>
      </c>
      <c r="K8" s="9"/>
      <c r="L8" s="9" t="s">
        <v>25</v>
      </c>
      <c r="M8" s="9"/>
      <c r="N8" s="10" t="b">
        <v>1</v>
      </c>
      <c r="O8" s="11">
        <v>16</v>
      </c>
      <c r="P8" s="12" cm="1">
        <f t="array" ref="P8">get_crack_width(D8,E8,F8,G8, N8, O8,H8,J8,K8,M8)</f>
        <v>0.2840871317526667</v>
      </c>
    </row>
    <row r="9" spans="1:16" ht="15.75" thickBot="1">
      <c r="A9" s="8" t="s">
        <v>64</v>
      </c>
      <c r="B9" s="9" t="s">
        <v>27</v>
      </c>
      <c r="C9" s="10">
        <f>2*4.45</f>
        <v>8.9</v>
      </c>
      <c r="D9" s="11">
        <v>40</v>
      </c>
      <c r="E9" s="11">
        <v>50</v>
      </c>
      <c r="F9" s="11">
        <v>30</v>
      </c>
      <c r="G9" s="11">
        <v>380</v>
      </c>
      <c r="H9" s="9">
        <v>25</v>
      </c>
      <c r="I9" s="9" t="s">
        <v>25</v>
      </c>
      <c r="J9" s="9">
        <v>250</v>
      </c>
      <c r="K9" s="9">
        <v>20</v>
      </c>
      <c r="L9" s="9" t="s">
        <v>25</v>
      </c>
      <c r="M9" s="9">
        <v>250</v>
      </c>
      <c r="N9" s="10" t="b">
        <v>1</v>
      </c>
      <c r="O9" s="11">
        <v>16</v>
      </c>
      <c r="P9" s="12" cm="1">
        <f t="array" ref="P9">get_crack_width(D9,E9,F9,G9, N9, O9,H9,J9,K9,M9)</f>
        <v>0.22149822507256844</v>
      </c>
    </row>
    <row r="10" spans="1:16" ht="15.75" thickBot="1">
      <c r="A10" s="8" t="s">
        <v>30</v>
      </c>
      <c r="B10" s="9" t="s">
        <v>24</v>
      </c>
      <c r="C10" s="10">
        <f>29.85*2</f>
        <v>59.7</v>
      </c>
      <c r="D10" s="11">
        <v>65</v>
      </c>
      <c r="E10" s="11">
        <v>75</v>
      </c>
      <c r="F10" s="11">
        <v>55</v>
      </c>
      <c r="G10" s="11">
        <f>280*0.65</f>
        <v>182</v>
      </c>
      <c r="H10" s="9">
        <v>25</v>
      </c>
      <c r="I10" s="9" t="s">
        <v>25</v>
      </c>
      <c r="J10" s="9">
        <v>250</v>
      </c>
      <c r="K10" s="9"/>
      <c r="L10" s="9" t="s">
        <v>25</v>
      </c>
      <c r="M10" s="9"/>
      <c r="N10" s="10" t="b">
        <v>1</v>
      </c>
      <c r="O10" s="11">
        <v>10</v>
      </c>
      <c r="P10" s="12" cm="1">
        <f t="array" ref="P10">get_crack_width(D10,E10,F10,G10, N10, O10,H10,J10,K10,M10)</f>
        <v>0.29168630454204503</v>
      </c>
    </row>
    <row r="11" spans="1:16" ht="15.75" thickBot="1">
      <c r="A11" s="8" t="s">
        <v>31</v>
      </c>
      <c r="B11" s="9" t="s">
        <v>27</v>
      </c>
      <c r="C11" s="10">
        <f>2*15.75*2</f>
        <v>63</v>
      </c>
      <c r="D11" s="11">
        <v>40</v>
      </c>
      <c r="E11" s="11">
        <v>50</v>
      </c>
      <c r="F11" s="11">
        <v>30</v>
      </c>
      <c r="G11" s="11">
        <f>430*0.65</f>
        <v>279.5</v>
      </c>
      <c r="H11" s="9">
        <v>25</v>
      </c>
      <c r="I11" s="9" t="s">
        <v>25</v>
      </c>
      <c r="J11" s="9">
        <v>250</v>
      </c>
      <c r="K11" s="9"/>
      <c r="L11" s="9" t="s">
        <v>25</v>
      </c>
      <c r="M11" s="9"/>
      <c r="N11" s="10" t="b">
        <v>1</v>
      </c>
      <c r="O11" s="11">
        <v>10</v>
      </c>
      <c r="P11" s="12" cm="1">
        <f t="array" ref="P11">get_crack_width(D11,E11,F11,G11, N11, O11,H11,J11,K11,M11)</f>
        <v>0.2836270387990153</v>
      </c>
    </row>
    <row r="12" spans="1:16" ht="15.75" thickBot="1">
      <c r="A12" s="13" t="s">
        <v>32</v>
      </c>
      <c r="B12" s="37"/>
      <c r="C12" s="38">
        <v>417.85</v>
      </c>
      <c r="D12" s="40"/>
      <c r="E12" s="40"/>
      <c r="F12" s="40"/>
      <c r="G12" s="39"/>
      <c r="H12" s="37"/>
      <c r="I12" s="37"/>
      <c r="J12" s="37"/>
      <c r="K12" s="37"/>
      <c r="L12" s="37"/>
      <c r="M12" s="37"/>
      <c r="N12" s="38"/>
      <c r="O12" s="38"/>
      <c r="P12" s="12"/>
    </row>
    <row r="13" spans="1:16" ht="34.5" customHeight="1" thickBot="1">
      <c r="A13" s="34" t="s">
        <v>33</v>
      </c>
      <c r="B13" s="35" t="s">
        <v>16</v>
      </c>
      <c r="C13" s="16" t="s">
        <v>51</v>
      </c>
      <c r="D13" s="42"/>
      <c r="E13" s="42"/>
      <c r="F13" s="42"/>
      <c r="G13" s="16" t="s">
        <v>52</v>
      </c>
      <c r="H13" s="66" t="s">
        <v>53</v>
      </c>
      <c r="I13" s="67"/>
      <c r="J13" s="68"/>
      <c r="K13" s="66" t="s">
        <v>54</v>
      </c>
      <c r="L13" s="67"/>
      <c r="M13" s="68"/>
      <c r="N13" s="10"/>
      <c r="O13" s="10"/>
      <c r="P13" s="12"/>
    </row>
    <row r="14" spans="1:16" ht="15.75" thickBot="1">
      <c r="A14" s="8" t="s">
        <v>23</v>
      </c>
      <c r="B14" s="9" t="s">
        <v>24</v>
      </c>
      <c r="C14" s="10">
        <f>$C$18-C16</f>
        <v>313.38750000000005</v>
      </c>
      <c r="D14" s="11">
        <v>75</v>
      </c>
      <c r="E14" s="11">
        <v>65</v>
      </c>
      <c r="F14" s="11">
        <v>65</v>
      </c>
      <c r="G14" s="11">
        <v>185</v>
      </c>
      <c r="H14" s="9">
        <v>25</v>
      </c>
      <c r="I14" s="9" t="s">
        <v>25</v>
      </c>
      <c r="J14" s="9">
        <v>250</v>
      </c>
      <c r="K14" s="9"/>
      <c r="L14" s="9"/>
      <c r="M14" s="9"/>
      <c r="N14" s="10" t="b">
        <v>0</v>
      </c>
      <c r="O14" s="10"/>
      <c r="P14" s="12" cm="1">
        <f t="array" ref="P14">get_crack_width(D14,E14,F14,G14, N14, O14,H14,J14,K14,M14)</f>
        <v>0.2964943205509798</v>
      </c>
    </row>
    <row r="15" spans="1:16" ht="15.75" thickBot="1">
      <c r="A15" s="8" t="s">
        <v>23</v>
      </c>
      <c r="B15" s="9" t="s">
        <v>27</v>
      </c>
      <c r="C15" s="10">
        <f>$C$18-C17</f>
        <v>353.85</v>
      </c>
      <c r="D15" s="11">
        <v>50</v>
      </c>
      <c r="E15" s="11">
        <v>40</v>
      </c>
      <c r="F15" s="11">
        <v>40</v>
      </c>
      <c r="G15" s="11">
        <v>290</v>
      </c>
      <c r="H15" s="9">
        <v>25</v>
      </c>
      <c r="I15" s="9" t="s">
        <v>25</v>
      </c>
      <c r="J15" s="9">
        <v>250</v>
      </c>
      <c r="K15" s="9"/>
      <c r="L15" s="9"/>
      <c r="M15" s="9"/>
      <c r="N15" s="10" t="b">
        <v>0</v>
      </c>
      <c r="O15" s="10"/>
      <c r="P15" s="12" cm="1">
        <f t="array" ref="P15">get_crack_width(D15,E15,F15,G15, N15, O15,H15,J15,K15,M15)</f>
        <v>0.29436334648373624</v>
      </c>
    </row>
    <row r="16" spans="1:16" ht="15.75" thickBot="1">
      <c r="A16" s="8" t="s">
        <v>35</v>
      </c>
      <c r="B16" s="9" t="s">
        <v>24</v>
      </c>
      <c r="C16" s="10">
        <f>C18/4</f>
        <v>104.46250000000001</v>
      </c>
      <c r="D16" s="11">
        <v>75</v>
      </c>
      <c r="E16" s="11">
        <v>65</v>
      </c>
      <c r="F16" s="11">
        <v>65</v>
      </c>
      <c r="G16" s="11">
        <v>300</v>
      </c>
      <c r="H16" s="9">
        <v>25</v>
      </c>
      <c r="I16" s="9" t="s">
        <v>25</v>
      </c>
      <c r="J16" s="9">
        <v>250</v>
      </c>
      <c r="K16" s="9">
        <v>20</v>
      </c>
      <c r="L16" s="9" t="s">
        <v>25</v>
      </c>
      <c r="M16" s="9">
        <v>250</v>
      </c>
      <c r="N16" s="10" t="b">
        <v>0</v>
      </c>
      <c r="O16" s="10"/>
      <c r="P16" s="12" cm="1">
        <f t="array" ref="P16">get_crack_width(D16,E16,F16,G16, N16, O16,H16,J16,K16,M16)</f>
        <v>0.2121180096285952</v>
      </c>
    </row>
    <row r="17" spans="1:16" ht="15.75" thickBot="1">
      <c r="A17" s="8" t="s">
        <v>35</v>
      </c>
      <c r="B17" s="9" t="s">
        <v>27</v>
      </c>
      <c r="C17" s="10">
        <f>2*8*4</f>
        <v>64</v>
      </c>
      <c r="D17" s="11">
        <v>50</v>
      </c>
      <c r="E17" s="11">
        <v>40</v>
      </c>
      <c r="F17" s="11">
        <v>40</v>
      </c>
      <c r="G17" s="11">
        <v>400</v>
      </c>
      <c r="H17" s="9">
        <v>25</v>
      </c>
      <c r="I17" s="9" t="s">
        <v>25</v>
      </c>
      <c r="J17" s="9">
        <v>250</v>
      </c>
      <c r="K17" s="9">
        <v>20</v>
      </c>
      <c r="L17" s="9" t="s">
        <v>25</v>
      </c>
      <c r="M17" s="9">
        <v>250</v>
      </c>
      <c r="N17" s="10" t="b">
        <v>0</v>
      </c>
      <c r="O17" s="10"/>
      <c r="P17" s="12" cm="1">
        <f t="array" ref="P17">get_crack_width(D17,E17,F17,G17, N17, O17,H17,J17,K17,M17)</f>
        <v>0.22354519065823189</v>
      </c>
    </row>
    <row r="18" spans="1:16" ht="15.75" thickBot="1">
      <c r="A18" s="13" t="s">
        <v>32</v>
      </c>
      <c r="B18" s="37"/>
      <c r="C18" s="38">
        <v>417.85</v>
      </c>
      <c r="D18" s="38"/>
      <c r="E18" s="38"/>
      <c r="F18" s="38"/>
      <c r="G18" s="37"/>
      <c r="H18" s="37"/>
      <c r="I18" s="37"/>
      <c r="J18" s="37"/>
      <c r="K18" s="37"/>
      <c r="L18" s="37"/>
      <c r="M18" s="37"/>
      <c r="N18" s="38"/>
      <c r="O18" s="38"/>
      <c r="P18" s="12"/>
    </row>
  </sheetData>
  <mergeCells count="4">
    <mergeCell ref="K13:M13"/>
    <mergeCell ref="H13:J13"/>
    <mergeCell ref="H1:J1"/>
    <mergeCell ref="K1:M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7581-EC9C-4036-8D01-462E9F39CA55}">
  <sheetPr codeName="Sheet4"/>
  <dimension ref="A1:P25"/>
  <sheetViews>
    <sheetView zoomScale="115" zoomScaleNormal="115" workbookViewId="0">
      <selection activeCell="P7" sqref="P7:P10"/>
    </sheetView>
  </sheetViews>
  <sheetFormatPr defaultRowHeight="15"/>
  <cols>
    <col min="1" max="1" width="12.625" style="7" customWidth="1"/>
    <col min="2" max="2" width="9.125" style="7" bestFit="1" customWidth="1"/>
    <col min="3" max="3" width="8.25" style="7" customWidth="1"/>
    <col min="4" max="6" width="11.75" style="7" hidden="1" customWidth="1"/>
    <col min="7" max="7" width="9.375" style="7" customWidth="1"/>
    <col min="8" max="8" width="2.875" style="7" customWidth="1"/>
    <col min="9" max="9" width="1.875" style="7" bestFit="1" customWidth="1"/>
    <col min="10" max="10" width="3.875" style="7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53" customWidth="1"/>
    <col min="17" max="16384" width="9" style="7"/>
  </cols>
  <sheetData>
    <row r="1" spans="1:16" ht="45.75" thickBot="1">
      <c r="A1" s="18" t="s">
        <v>36</v>
      </c>
      <c r="B1" s="19" t="s">
        <v>37</v>
      </c>
      <c r="C1" s="5" t="s">
        <v>17</v>
      </c>
      <c r="D1" s="26"/>
      <c r="E1" s="26"/>
      <c r="F1" s="26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</row>
    <row r="2" spans="1:16" ht="15.75" thickBot="1">
      <c r="A2" s="20" t="s">
        <v>23</v>
      </c>
      <c r="B2" s="21" t="s">
        <v>24</v>
      </c>
      <c r="C2" s="22">
        <f>C4</f>
        <v>79.400000000000006</v>
      </c>
      <c r="D2" s="22">
        <v>50</v>
      </c>
      <c r="E2" s="22">
        <v>40</v>
      </c>
      <c r="F2" s="22">
        <v>40</v>
      </c>
      <c r="G2" s="56">
        <v>290</v>
      </c>
      <c r="H2" s="56">
        <v>25</v>
      </c>
      <c r="I2" s="56" t="s">
        <v>25</v>
      </c>
      <c r="J2" s="56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0.29436334648373624</v>
      </c>
    </row>
    <row r="3" spans="1:16" ht="15.75" thickBot="1">
      <c r="A3" s="20" t="s">
        <v>23</v>
      </c>
      <c r="B3" s="21" t="s">
        <v>38</v>
      </c>
      <c r="C3" s="22">
        <f>C4</f>
        <v>79.400000000000006</v>
      </c>
      <c r="D3" s="22">
        <v>75</v>
      </c>
      <c r="E3" s="22">
        <v>65</v>
      </c>
      <c r="F3" s="22">
        <v>65</v>
      </c>
      <c r="G3" s="56">
        <v>185</v>
      </c>
      <c r="H3" s="56">
        <v>25</v>
      </c>
      <c r="I3" s="56" t="s">
        <v>25</v>
      </c>
      <c r="J3" s="56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0.2964943205509798</v>
      </c>
    </row>
    <row r="4" spans="1:16" ht="15.75" thickBot="1">
      <c r="A4" s="23" t="s">
        <v>32</v>
      </c>
      <c r="B4" s="21"/>
      <c r="C4" s="22">
        <v>79.400000000000006</v>
      </c>
      <c r="D4" s="22"/>
      <c r="E4" s="22"/>
      <c r="F4" s="22"/>
      <c r="G4" s="22"/>
      <c r="H4" s="22"/>
      <c r="I4" s="22"/>
      <c r="J4" s="22"/>
      <c r="K4" s="9"/>
      <c r="L4" s="9"/>
      <c r="M4" s="9"/>
      <c r="N4" s="10"/>
      <c r="O4" s="10"/>
      <c r="P4" s="12"/>
    </row>
    <row r="5" spans="1:16" ht="15.75" thickBot="1">
      <c r="A5" s="24"/>
      <c r="B5" s="24"/>
      <c r="C5" s="22"/>
      <c r="D5" s="24"/>
      <c r="E5" s="24"/>
      <c r="F5" s="24"/>
      <c r="G5" s="24"/>
      <c r="H5" s="25"/>
      <c r="I5" s="25"/>
      <c r="J5" s="25"/>
      <c r="K5" s="25"/>
      <c r="L5" s="25"/>
      <c r="M5" s="25"/>
      <c r="N5" s="10"/>
      <c r="O5" s="10"/>
      <c r="P5" s="12"/>
    </row>
    <row r="6" spans="1:16" ht="35.25" customHeight="1" thickBot="1">
      <c r="A6" s="18" t="s">
        <v>40</v>
      </c>
      <c r="B6" s="19" t="s">
        <v>37</v>
      </c>
      <c r="C6" s="26" t="s">
        <v>41</v>
      </c>
      <c r="D6" s="26"/>
      <c r="E6" s="26"/>
      <c r="F6" s="26"/>
      <c r="G6" s="26" t="s">
        <v>42</v>
      </c>
      <c r="H6" s="69" t="s">
        <v>19</v>
      </c>
      <c r="I6" s="70"/>
      <c r="J6" s="71"/>
      <c r="K6" s="69" t="s">
        <v>20</v>
      </c>
      <c r="L6" s="70"/>
      <c r="M6" s="71"/>
      <c r="N6" s="10"/>
      <c r="O6" s="11"/>
      <c r="P6" s="12"/>
    </row>
    <row r="7" spans="1:16" ht="15.75" thickBot="1">
      <c r="A7" s="20" t="s">
        <v>43</v>
      </c>
      <c r="B7" s="21" t="s">
        <v>24</v>
      </c>
      <c r="C7" s="22">
        <f>$C$11-C9</f>
        <v>79.400000000000006</v>
      </c>
      <c r="D7" s="22">
        <v>40</v>
      </c>
      <c r="E7" s="22">
        <v>50</v>
      </c>
      <c r="F7" s="22">
        <v>30</v>
      </c>
      <c r="G7" s="56">
        <v>165</v>
      </c>
      <c r="H7" s="9">
        <v>25</v>
      </c>
      <c r="I7" s="9" t="s">
        <v>25</v>
      </c>
      <c r="J7" s="9">
        <v>250</v>
      </c>
      <c r="K7" s="9"/>
      <c r="L7" s="9"/>
      <c r="M7" s="9"/>
      <c r="N7" s="10" t="b">
        <v>0</v>
      </c>
      <c r="O7" s="11"/>
      <c r="P7" s="12" cm="1">
        <f t="array" ref="P7">get_crack_width(D7,E7,F7,G7, N7, O7,H7,J7,K7,M7)</f>
        <v>0.29799003372680327</v>
      </c>
    </row>
    <row r="8" spans="1:16" ht="15.75" thickBot="1">
      <c r="A8" s="20" t="s">
        <v>43</v>
      </c>
      <c r="B8" s="21" t="s">
        <v>38</v>
      </c>
      <c r="C8" s="22">
        <f>$C$11-C10</f>
        <v>63.650000000000006</v>
      </c>
      <c r="D8" s="22">
        <v>65</v>
      </c>
      <c r="E8" s="22">
        <v>75</v>
      </c>
      <c r="F8" s="22">
        <v>55</v>
      </c>
      <c r="G8" s="56">
        <v>215</v>
      </c>
      <c r="H8" s="9">
        <v>25</v>
      </c>
      <c r="I8" s="9" t="s">
        <v>25</v>
      </c>
      <c r="J8" s="9">
        <v>250</v>
      </c>
      <c r="K8" s="9"/>
      <c r="L8" s="9"/>
      <c r="M8" s="9"/>
      <c r="N8" s="10" t="b">
        <v>0</v>
      </c>
      <c r="O8" s="11"/>
      <c r="P8" s="12" cm="1">
        <f t="array" ref="P8">get_crack_width(D8,E8,F8,G8, N8, O8,H8,J8,K8,M8)</f>
        <v>0.29345787650468563</v>
      </c>
    </row>
    <row r="9" spans="1:16" ht="15.75" thickBot="1">
      <c r="A9" s="20" t="s">
        <v>70</v>
      </c>
      <c r="B9" s="21" t="s">
        <v>24</v>
      </c>
      <c r="C9" s="22">
        <v>0</v>
      </c>
      <c r="D9" s="22">
        <v>40</v>
      </c>
      <c r="E9" s="22">
        <v>50</v>
      </c>
      <c r="F9" s="22">
        <v>30</v>
      </c>
      <c r="G9" s="56">
        <v>0</v>
      </c>
      <c r="H9" s="9"/>
      <c r="I9" s="9"/>
      <c r="J9" s="9"/>
      <c r="K9" s="9"/>
      <c r="L9" s="9"/>
      <c r="M9" s="9"/>
      <c r="N9" s="10" t="b">
        <v>0</v>
      </c>
      <c r="O9" s="11"/>
      <c r="P9" s="12" cm="1">
        <f t="array" ref="P9">get_crack_width(D9,E9,F9,G9, N9, O9,H9,J9,K9,M9)</f>
        <v>0</v>
      </c>
    </row>
    <row r="10" spans="1:16" ht="15.75" thickBot="1">
      <c r="A10" s="20" t="s">
        <v>70</v>
      </c>
      <c r="B10" s="21" t="s">
        <v>38</v>
      </c>
      <c r="C10" s="22">
        <f>15.75*1</f>
        <v>15.75</v>
      </c>
      <c r="D10" s="22">
        <v>65</v>
      </c>
      <c r="E10" s="22">
        <v>75</v>
      </c>
      <c r="F10" s="22">
        <v>55</v>
      </c>
      <c r="G10" s="56">
        <v>360</v>
      </c>
      <c r="H10" s="9">
        <v>25</v>
      </c>
      <c r="I10" s="9" t="s">
        <v>25</v>
      </c>
      <c r="J10" s="9">
        <v>250</v>
      </c>
      <c r="K10" s="9">
        <v>20</v>
      </c>
      <c r="L10" s="9" t="s">
        <v>25</v>
      </c>
      <c r="M10" s="9">
        <v>250</v>
      </c>
      <c r="N10" s="10" t="b">
        <v>0</v>
      </c>
      <c r="O10" s="11"/>
      <c r="P10" s="12" cm="1">
        <f t="array" ref="P10">get_crack_width(D10,E10,F10,G10, N10, O10,H10,J10,K10,M10)</f>
        <v>0.23067542989215184</v>
      </c>
    </row>
    <row r="11" spans="1:16" ht="15.75" thickBot="1">
      <c r="A11" s="23" t="s">
        <v>32</v>
      </c>
      <c r="B11" s="21"/>
      <c r="C11" s="22">
        <v>79.400000000000006</v>
      </c>
      <c r="D11" s="21"/>
      <c r="E11" s="21"/>
      <c r="F11" s="21"/>
      <c r="G11" s="21"/>
      <c r="H11" s="9"/>
      <c r="I11" s="9"/>
      <c r="J11" s="9"/>
      <c r="K11" s="9"/>
      <c r="L11" s="9"/>
      <c r="M11" s="9"/>
      <c r="N11" s="10"/>
      <c r="O11" s="10"/>
      <c r="P11" s="12"/>
    </row>
    <row r="12" spans="1:16" ht="15.75" customHeight="1">
      <c r="N12" s="54"/>
      <c r="O12" s="54"/>
      <c r="P12" s="54"/>
    </row>
    <row r="13" spans="1:16" ht="15.75" customHeight="1">
      <c r="N13" s="55"/>
      <c r="O13" s="55"/>
      <c r="P13" s="55"/>
    </row>
    <row r="14" spans="1:16" ht="15.75" customHeight="1">
      <c r="N14" s="55"/>
      <c r="O14" s="55"/>
      <c r="P14" s="55"/>
    </row>
    <row r="15" spans="1:16" ht="15.75" customHeight="1">
      <c r="N15" s="55"/>
      <c r="O15" s="55"/>
      <c r="P15" s="55"/>
    </row>
    <row r="16" spans="1:16" ht="15.75" customHeight="1">
      <c r="N16" s="55"/>
      <c r="O16" s="55"/>
      <c r="P16" s="55"/>
    </row>
    <row r="17" spans="14:16" ht="15.75" customHeight="1">
      <c r="N17" s="55"/>
      <c r="O17" s="55"/>
      <c r="P17" s="55"/>
    </row>
    <row r="18" spans="14:16" ht="15.75" customHeight="1">
      <c r="N18" s="55"/>
      <c r="O18" s="55"/>
      <c r="P18" s="55"/>
    </row>
    <row r="19" spans="14:16" ht="15.75" customHeight="1"/>
    <row r="20" spans="14:16" ht="15.75" customHeight="1"/>
    <row r="21" spans="14:16" ht="15.75" customHeight="1"/>
    <row r="22" spans="14:16" ht="15.75" customHeight="1"/>
    <row r="23" spans="14:16" ht="15.75" customHeight="1"/>
    <row r="24" spans="14:16" ht="15.75" customHeight="1"/>
    <row r="25" spans="14:16" ht="15.75" customHeight="1"/>
  </sheetData>
  <mergeCells count="4">
    <mergeCell ref="H1:J1"/>
    <mergeCell ref="K1:M1"/>
    <mergeCell ref="H6:J6"/>
    <mergeCell ref="K6:M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7957-C396-4A6F-B19A-5B0A8D6FD947}">
  <sheetPr codeName="Sheet5"/>
  <dimension ref="A1:Q15"/>
  <sheetViews>
    <sheetView zoomScale="130" zoomScaleNormal="130" workbookViewId="0">
      <selection activeCell="O11" sqref="O11"/>
    </sheetView>
  </sheetViews>
  <sheetFormatPr defaultRowHeight="15"/>
  <cols>
    <col min="1" max="1" width="14" style="7" bestFit="1" customWidth="1"/>
    <col min="2" max="2" width="9.125" style="7" bestFit="1" customWidth="1"/>
    <col min="3" max="3" width="8" style="7" bestFit="1" customWidth="1"/>
    <col min="4" max="6" width="8" style="7" hidden="1" customWidth="1"/>
    <col min="7" max="7" width="6.75" style="7" bestFit="1" customWidth="1"/>
    <col min="8" max="8" width="2.375" style="7" bestFit="1" customWidth="1"/>
    <col min="9" max="9" width="1.875" style="7" bestFit="1" customWidth="1"/>
    <col min="10" max="10" width="3.125" style="7" bestFit="1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7" customWidth="1"/>
    <col min="17" max="17" width="6.125" style="7" customWidth="1"/>
    <col min="18" max="16384" width="9" style="7"/>
  </cols>
  <sheetData>
    <row r="1" spans="1:17" ht="45.75" thickBot="1">
      <c r="A1" s="18" t="s">
        <v>15</v>
      </c>
      <c r="B1" s="19" t="s">
        <v>37</v>
      </c>
      <c r="C1" s="5" t="s">
        <v>17</v>
      </c>
      <c r="D1" s="52"/>
      <c r="E1" s="52"/>
      <c r="F1" s="52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  <c r="Q1" s="27"/>
    </row>
    <row r="2" spans="1:17" ht="15.75" thickBot="1">
      <c r="A2" s="20" t="s">
        <v>23</v>
      </c>
      <c r="B2" s="21" t="s">
        <v>44</v>
      </c>
      <c r="C2" s="22">
        <f>C6</f>
        <v>64.41</v>
      </c>
      <c r="D2" s="56">
        <v>65</v>
      </c>
      <c r="E2" s="56">
        <v>75</v>
      </c>
      <c r="F2" s="56">
        <v>55</v>
      </c>
      <c r="G2" s="56">
        <v>215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0.29345787650468563</v>
      </c>
      <c r="Q2" s="15"/>
    </row>
    <row r="3" spans="1:17" ht="15.75" thickBot="1">
      <c r="A3" s="20" t="s">
        <v>23</v>
      </c>
      <c r="B3" s="21" t="s">
        <v>27</v>
      </c>
      <c r="C3" s="22">
        <f>C6-C5</f>
        <v>55.51</v>
      </c>
      <c r="D3" s="56">
        <v>40</v>
      </c>
      <c r="E3" s="56">
        <v>50</v>
      </c>
      <c r="F3" s="56">
        <v>30</v>
      </c>
      <c r="G3" s="56">
        <v>165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0.29799003372680327</v>
      </c>
      <c r="Q3" s="15"/>
    </row>
    <row r="4" spans="1:17" ht="23.25" thickBot="1">
      <c r="A4" s="20" t="s">
        <v>71</v>
      </c>
      <c r="B4" s="21" t="s">
        <v>44</v>
      </c>
      <c r="C4" s="22">
        <v>0</v>
      </c>
      <c r="D4" s="56">
        <v>65</v>
      </c>
      <c r="E4" s="56">
        <v>75</v>
      </c>
      <c r="F4" s="56">
        <v>55</v>
      </c>
      <c r="G4" s="56"/>
      <c r="H4" s="9"/>
      <c r="I4" s="9"/>
      <c r="J4" s="9"/>
      <c r="K4" s="9"/>
      <c r="L4" s="9"/>
      <c r="M4" s="9"/>
      <c r="N4" s="10" t="b">
        <v>0</v>
      </c>
      <c r="O4" s="10"/>
      <c r="P4" s="12" cm="1">
        <f t="array" ref="P4">get_crack_width(D4,E4,F4,G4, N4, O4,H4,J4,K4,M4)</f>
        <v>0</v>
      </c>
      <c r="Q4" s="15"/>
    </row>
    <row r="5" spans="1:17" ht="23.25" thickBot="1">
      <c r="A5" s="20" t="s">
        <v>71</v>
      </c>
      <c r="B5" s="21" t="s">
        <v>27</v>
      </c>
      <c r="C5" s="22">
        <f>2*4.45</f>
        <v>8.9</v>
      </c>
      <c r="D5" s="56">
        <v>40</v>
      </c>
      <c r="E5" s="56">
        <v>50</v>
      </c>
      <c r="F5" s="56">
        <v>30</v>
      </c>
      <c r="G5" s="56">
        <f>300*0.65</f>
        <v>195</v>
      </c>
      <c r="H5" s="9">
        <v>25</v>
      </c>
      <c r="I5" s="9" t="s">
        <v>25</v>
      </c>
      <c r="J5" s="9">
        <v>250</v>
      </c>
      <c r="K5" s="9">
        <v>20</v>
      </c>
      <c r="L5" s="9" t="s">
        <v>25</v>
      </c>
      <c r="M5" s="9">
        <v>250</v>
      </c>
      <c r="N5" s="10" t="b">
        <v>0</v>
      </c>
      <c r="O5" s="10"/>
      <c r="P5" s="12" cm="1">
        <f t="array" ref="P5">get_crack_width(D5,E5,F5,G5, N5, O5,H5,J5,K5,M5)</f>
        <v>0.21168618820367344</v>
      </c>
      <c r="Q5" s="15"/>
    </row>
    <row r="6" spans="1:17" ht="15.75" thickBot="1">
      <c r="A6" s="23" t="s">
        <v>32</v>
      </c>
      <c r="B6" s="21"/>
      <c r="C6" s="22">
        <v>64.41</v>
      </c>
      <c r="D6" s="56"/>
      <c r="E6" s="56"/>
      <c r="F6" s="56"/>
      <c r="G6" s="21"/>
      <c r="H6" s="9"/>
      <c r="I6" s="9"/>
      <c r="J6" s="9"/>
      <c r="K6" s="9"/>
      <c r="L6" s="9"/>
      <c r="M6" s="9"/>
      <c r="N6" s="10"/>
      <c r="O6" s="11"/>
      <c r="P6" s="12"/>
      <c r="Q6" s="29"/>
    </row>
    <row r="7" spans="1:17" ht="15.75" thickBot="1">
      <c r="A7" s="57"/>
      <c r="B7" s="58"/>
      <c r="C7" s="58"/>
      <c r="D7" s="59"/>
      <c r="E7" s="59"/>
      <c r="F7" s="59"/>
      <c r="G7" s="58"/>
      <c r="H7" s="58"/>
      <c r="I7" s="58"/>
      <c r="J7" s="58"/>
      <c r="K7" s="58"/>
      <c r="L7" s="58"/>
      <c r="M7" s="58"/>
      <c r="N7" s="10"/>
      <c r="O7" s="11"/>
      <c r="P7" s="12"/>
      <c r="Q7" s="15"/>
    </row>
    <row r="8" spans="1:17" ht="36.75" customHeight="1" thickBot="1">
      <c r="A8" s="18" t="s">
        <v>33</v>
      </c>
      <c r="B8" s="19" t="s">
        <v>37</v>
      </c>
      <c r="C8" s="26" t="s">
        <v>41</v>
      </c>
      <c r="D8" s="60"/>
      <c r="E8" s="60"/>
      <c r="F8" s="60"/>
      <c r="G8" s="26" t="s">
        <v>42</v>
      </c>
      <c r="H8" s="69" t="s">
        <v>19</v>
      </c>
      <c r="I8" s="70"/>
      <c r="J8" s="71"/>
      <c r="K8" s="69" t="s">
        <v>20</v>
      </c>
      <c r="L8" s="70"/>
      <c r="M8" s="71"/>
      <c r="N8" s="10"/>
      <c r="O8" s="11"/>
      <c r="P8" s="12"/>
      <c r="Q8" s="29"/>
    </row>
    <row r="9" spans="1:17" ht="15.75" thickBot="1">
      <c r="A9" s="20" t="s">
        <v>43</v>
      </c>
      <c r="B9" s="21" t="s">
        <v>44</v>
      </c>
      <c r="C9" s="22">
        <f>$C$15-C11-C13</f>
        <v>22.47</v>
      </c>
      <c r="D9" s="56">
        <v>75</v>
      </c>
      <c r="E9" s="56">
        <v>65</v>
      </c>
      <c r="F9" s="56">
        <v>65</v>
      </c>
      <c r="G9" s="56">
        <v>185</v>
      </c>
      <c r="H9" s="9">
        <v>25</v>
      </c>
      <c r="I9" s="9" t="s">
        <v>25</v>
      </c>
      <c r="J9" s="9">
        <v>250</v>
      </c>
      <c r="K9" s="9"/>
      <c r="L9" s="9"/>
      <c r="M9" s="9"/>
      <c r="N9" s="10" t="b">
        <v>0</v>
      </c>
      <c r="O9" s="11"/>
      <c r="P9" s="12" cm="1">
        <f t="array" ref="P9">get_crack_width(D9,E9,F9,G9, N9, O9,H9,J9,K9,M9)</f>
        <v>0.2964943205509798</v>
      </c>
      <c r="Q9" s="28"/>
    </row>
    <row r="10" spans="1:17" ht="15.75" thickBot="1">
      <c r="A10" s="20" t="s">
        <v>43</v>
      </c>
      <c r="B10" s="21" t="s">
        <v>27</v>
      </c>
      <c r="C10" s="22">
        <f>$C$15-C12-C14</f>
        <v>55.51</v>
      </c>
      <c r="D10" s="56">
        <v>50</v>
      </c>
      <c r="E10" s="56">
        <v>40</v>
      </c>
      <c r="F10" s="56">
        <v>40</v>
      </c>
      <c r="G10" s="56">
        <v>290</v>
      </c>
      <c r="H10" s="9">
        <v>25</v>
      </c>
      <c r="I10" s="9" t="s">
        <v>25</v>
      </c>
      <c r="J10" s="9">
        <v>250</v>
      </c>
      <c r="K10" s="9"/>
      <c r="L10" s="9"/>
      <c r="M10" s="9"/>
      <c r="N10" s="10" t="b">
        <v>0</v>
      </c>
      <c r="O10" s="11"/>
      <c r="P10" s="12" cm="1">
        <f t="array" ref="P10">get_crack_width(D10,E10,F10,G10, N10, O10,H10,J10,K10,M10)</f>
        <v>0.29436334648373624</v>
      </c>
      <c r="Q10" s="28"/>
    </row>
    <row r="11" spans="1:17" ht="15.75" thickBot="1">
      <c r="A11" s="20" t="s">
        <v>29</v>
      </c>
      <c r="B11" s="21" t="s">
        <v>44</v>
      </c>
      <c r="C11" s="22">
        <f>14.47*1</f>
        <v>14.47</v>
      </c>
      <c r="D11" s="56">
        <v>75</v>
      </c>
      <c r="E11" s="56">
        <v>65</v>
      </c>
      <c r="F11" s="56">
        <v>65</v>
      </c>
      <c r="G11" s="56">
        <v>610</v>
      </c>
      <c r="H11" s="9">
        <v>25</v>
      </c>
      <c r="I11" s="9" t="s">
        <v>25</v>
      </c>
      <c r="J11" s="9">
        <v>125</v>
      </c>
      <c r="K11" s="9">
        <v>25</v>
      </c>
      <c r="L11" s="9" t="s">
        <v>25</v>
      </c>
      <c r="M11" s="9">
        <v>250</v>
      </c>
      <c r="N11" s="10" t="b">
        <v>1</v>
      </c>
      <c r="O11" s="11">
        <v>12</v>
      </c>
      <c r="P11" s="12" cm="1">
        <f t="array" ref="P11">get_crack_width(D11,E11,F11,G11, N11, O11,H11,J11,K11,M11)</f>
        <v>0.27567188396632841</v>
      </c>
      <c r="Q11" s="28"/>
    </row>
    <row r="12" spans="1:17" ht="15.75" thickBot="1">
      <c r="A12" s="20" t="s">
        <v>29</v>
      </c>
      <c r="B12" s="21" t="s">
        <v>27</v>
      </c>
      <c r="C12" s="22">
        <v>0</v>
      </c>
      <c r="D12" s="56">
        <v>50</v>
      </c>
      <c r="E12" s="56">
        <v>40</v>
      </c>
      <c r="F12" s="56">
        <v>40</v>
      </c>
      <c r="G12" s="56"/>
      <c r="H12" s="9"/>
      <c r="I12" s="9"/>
      <c r="J12" s="9"/>
      <c r="K12" s="9"/>
      <c r="L12" s="9"/>
      <c r="M12" s="9"/>
      <c r="N12" s="10" t="b">
        <v>0</v>
      </c>
      <c r="O12" s="11"/>
      <c r="P12" s="12"/>
      <c r="Q12" s="28"/>
    </row>
    <row r="13" spans="1:17" ht="15.75" thickBot="1">
      <c r="A13" s="20" t="s">
        <v>72</v>
      </c>
      <c r="B13" s="21" t="s">
        <v>44</v>
      </c>
      <c r="C13" s="22">
        <f>41.94-C11</f>
        <v>27.47</v>
      </c>
      <c r="D13" s="56">
        <v>75</v>
      </c>
      <c r="E13" s="56">
        <v>65</v>
      </c>
      <c r="F13" s="56">
        <v>65</v>
      </c>
      <c r="G13" s="56">
        <v>280</v>
      </c>
      <c r="H13" s="9">
        <v>25</v>
      </c>
      <c r="I13" s="9" t="s">
        <v>25</v>
      </c>
      <c r="J13" s="9">
        <v>250</v>
      </c>
      <c r="K13" s="9">
        <v>20</v>
      </c>
      <c r="L13" s="9" t="s">
        <v>25</v>
      </c>
      <c r="M13" s="9">
        <v>250</v>
      </c>
      <c r="N13" s="10" t="b">
        <v>0</v>
      </c>
      <c r="O13" s="11"/>
      <c r="P13" s="12" cm="1">
        <f t="array" ref="P13">get_crack_width(D13,E13,F13,G13, N13, O13,H13,J13,K13,M13)</f>
        <v>0.19797680898668885</v>
      </c>
      <c r="Q13" s="28"/>
    </row>
    <row r="14" spans="1:17" ht="15.75" thickBot="1">
      <c r="A14" s="20" t="s">
        <v>72</v>
      </c>
      <c r="B14" s="21" t="s">
        <v>27</v>
      </c>
      <c r="C14" s="22">
        <f>2*4.45</f>
        <v>8.9</v>
      </c>
      <c r="D14" s="56">
        <v>50</v>
      </c>
      <c r="E14" s="56">
        <v>40</v>
      </c>
      <c r="F14" s="56">
        <v>40</v>
      </c>
      <c r="G14" s="56">
        <f>660*0.65</f>
        <v>429</v>
      </c>
      <c r="H14" s="9">
        <v>25</v>
      </c>
      <c r="I14" s="9" t="s">
        <v>25</v>
      </c>
      <c r="J14" s="9">
        <v>250</v>
      </c>
      <c r="K14" s="9">
        <v>20</v>
      </c>
      <c r="L14" s="9" t="s">
        <v>25</v>
      </c>
      <c r="M14" s="9">
        <v>250</v>
      </c>
      <c r="N14" s="10" t="b">
        <v>0</v>
      </c>
      <c r="O14" s="11"/>
      <c r="P14" s="12" cm="1">
        <f t="array" ref="P14">get_crack_width(D14,E14,F14,G14, N14, O14,H14,J14,K14,M14)</f>
        <v>0.24967996366288886</v>
      </c>
      <c r="Q14" s="28"/>
    </row>
    <row r="15" spans="1:17" ht="15.75" thickBot="1">
      <c r="A15" s="23" t="s">
        <v>32</v>
      </c>
      <c r="B15" s="21"/>
      <c r="C15" s="22">
        <v>64.41</v>
      </c>
      <c r="D15" s="22"/>
      <c r="E15" s="22"/>
      <c r="F15" s="22"/>
      <c r="G15" s="21"/>
      <c r="H15" s="9"/>
      <c r="I15" s="9"/>
      <c r="J15" s="9"/>
      <c r="K15" s="9"/>
      <c r="L15" s="9"/>
      <c r="M15" s="9"/>
      <c r="N15" s="10"/>
      <c r="O15" s="10"/>
      <c r="P15" s="12"/>
      <c r="Q15" s="15"/>
    </row>
  </sheetData>
  <mergeCells count="4">
    <mergeCell ref="H1:J1"/>
    <mergeCell ref="K1:M1"/>
    <mergeCell ref="H8:J8"/>
    <mergeCell ref="K8:M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5478B-D23E-4DAD-9D3E-5FAEC3BF9E81}">
  <sheetPr codeName="Sheet6"/>
  <dimension ref="A1:P15"/>
  <sheetViews>
    <sheetView zoomScale="130" zoomScaleNormal="130" workbookViewId="0">
      <selection activeCell="J17" sqref="J17"/>
    </sheetView>
  </sheetViews>
  <sheetFormatPr defaultRowHeight="15"/>
  <cols>
    <col min="1" max="1" width="13.875" style="7" bestFit="1" customWidth="1"/>
    <col min="2" max="2" width="9.125" style="7" bestFit="1" customWidth="1"/>
    <col min="3" max="3" width="8" style="7" bestFit="1" customWidth="1"/>
    <col min="4" max="6" width="8" style="7" hidden="1" customWidth="1"/>
    <col min="7" max="7" width="6.75" style="7" bestFit="1" customWidth="1"/>
    <col min="8" max="8" width="2.375" style="7" bestFit="1" customWidth="1"/>
    <col min="9" max="9" width="1.875" style="7" bestFit="1" customWidth="1"/>
    <col min="10" max="10" width="3.125" style="7" bestFit="1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7" customWidth="1"/>
    <col min="17" max="16384" width="9" style="7"/>
  </cols>
  <sheetData>
    <row r="1" spans="1:16" ht="45.75" thickBot="1">
      <c r="A1" s="18" t="s">
        <v>36</v>
      </c>
      <c r="B1" s="19" t="s">
        <v>37</v>
      </c>
      <c r="C1" s="5" t="s">
        <v>17</v>
      </c>
      <c r="D1" s="52"/>
      <c r="E1" s="52"/>
      <c r="F1" s="52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</row>
    <row r="2" spans="1:16" ht="15.75" thickBot="1">
      <c r="A2" s="20" t="s">
        <v>23</v>
      </c>
      <c r="B2" s="21" t="s">
        <v>44</v>
      </c>
      <c r="C2" s="22">
        <f>C6</f>
        <v>110.74</v>
      </c>
      <c r="D2" s="56">
        <v>75</v>
      </c>
      <c r="E2" s="56">
        <v>65</v>
      </c>
      <c r="F2" s="56">
        <v>65</v>
      </c>
      <c r="G2" s="56">
        <v>185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0.2964943205509798</v>
      </c>
    </row>
    <row r="3" spans="1:16" ht="15.75" thickBot="1">
      <c r="A3" s="20" t="s">
        <v>23</v>
      </c>
      <c r="B3" s="21" t="s">
        <v>27</v>
      </c>
      <c r="C3" s="22">
        <f>C6</f>
        <v>110.74</v>
      </c>
      <c r="D3" s="56">
        <v>50</v>
      </c>
      <c r="E3" s="56">
        <v>40</v>
      </c>
      <c r="F3" s="56">
        <v>40</v>
      </c>
      <c r="G3" s="56">
        <v>290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0.29436334648373624</v>
      </c>
    </row>
    <row r="4" spans="1:16" ht="15.75" thickBot="1">
      <c r="A4" s="20" t="s">
        <v>46</v>
      </c>
      <c r="B4" s="21" t="s">
        <v>44</v>
      </c>
      <c r="C4" s="22">
        <f>2.8*7.4</f>
        <v>20.72</v>
      </c>
      <c r="D4" s="56">
        <v>75</v>
      </c>
      <c r="E4" s="56">
        <v>65</v>
      </c>
      <c r="F4" s="56">
        <v>65</v>
      </c>
      <c r="G4" s="56">
        <v>230</v>
      </c>
      <c r="H4" s="9">
        <v>25</v>
      </c>
      <c r="I4" s="9" t="s">
        <v>25</v>
      </c>
      <c r="J4" s="9">
        <v>250</v>
      </c>
      <c r="K4" s="9">
        <v>20</v>
      </c>
      <c r="L4" s="9" t="s">
        <v>25</v>
      </c>
      <c r="M4" s="9">
        <v>250</v>
      </c>
      <c r="N4" s="10" t="b">
        <v>0</v>
      </c>
      <c r="O4" s="10"/>
      <c r="P4" s="12" cm="1">
        <f t="array" ref="P4">get_crack_width(D4,E4,F4,G4, N4, O4,H4,J4,K4,M4)</f>
        <v>0.162623807381923</v>
      </c>
    </row>
    <row r="5" spans="1:16" ht="15.75" thickBot="1">
      <c r="A5" s="20" t="s">
        <v>46</v>
      </c>
      <c r="B5" s="21" t="s">
        <v>27</v>
      </c>
      <c r="C5" s="22">
        <v>0</v>
      </c>
      <c r="D5" s="56">
        <v>50</v>
      </c>
      <c r="E5" s="56">
        <v>40</v>
      </c>
      <c r="F5" s="56">
        <v>40</v>
      </c>
      <c r="G5" s="56">
        <v>0</v>
      </c>
      <c r="H5" s="9"/>
      <c r="I5" s="9"/>
      <c r="J5" s="9"/>
      <c r="K5" s="9"/>
      <c r="L5" s="9"/>
      <c r="M5" s="9"/>
      <c r="N5" s="10" t="b">
        <v>0</v>
      </c>
      <c r="O5" s="10"/>
      <c r="P5" s="12" cm="1">
        <f t="array" ref="P5">get_crack_width(D5,E5,F5,G5, N5, O5,H5,J5,K5,M5)</f>
        <v>0</v>
      </c>
    </row>
    <row r="6" spans="1:16" ht="15.75" thickBot="1">
      <c r="A6" s="23" t="s">
        <v>32</v>
      </c>
      <c r="B6" s="21"/>
      <c r="C6" s="22">
        <v>110.74</v>
      </c>
      <c r="D6" s="22"/>
      <c r="E6" s="22"/>
      <c r="F6" s="22"/>
      <c r="G6" s="21"/>
      <c r="H6" s="9"/>
      <c r="I6" s="9"/>
      <c r="J6" s="9"/>
      <c r="K6" s="9"/>
      <c r="L6" s="9"/>
      <c r="M6" s="9"/>
      <c r="N6" s="10"/>
      <c r="O6" s="10"/>
      <c r="P6" s="12"/>
    </row>
    <row r="7" spans="1:16" ht="15.75" thickBot="1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10"/>
      <c r="O7" s="10"/>
      <c r="P7" s="12"/>
    </row>
    <row r="8" spans="1:16" ht="23.25" thickBot="1">
      <c r="A8" s="18" t="s">
        <v>40</v>
      </c>
      <c r="B8" s="19" t="s">
        <v>37</v>
      </c>
      <c r="C8" s="26" t="s">
        <v>41</v>
      </c>
      <c r="D8" s="26"/>
      <c r="E8" s="26"/>
      <c r="F8" s="26"/>
      <c r="G8" s="26" t="s">
        <v>42</v>
      </c>
      <c r="H8" s="69" t="s">
        <v>19</v>
      </c>
      <c r="I8" s="70"/>
      <c r="J8" s="71"/>
      <c r="K8" s="69" t="s">
        <v>20</v>
      </c>
      <c r="L8" s="70"/>
      <c r="M8" s="71"/>
      <c r="N8" s="10"/>
      <c r="O8" s="11"/>
      <c r="P8" s="12"/>
    </row>
    <row r="9" spans="1:16" ht="15.75" thickBot="1">
      <c r="A9" s="20" t="s">
        <v>23</v>
      </c>
      <c r="B9" s="21" t="s">
        <v>44</v>
      </c>
      <c r="C9" s="22">
        <f>$C$15-C11-C13</f>
        <v>87.24</v>
      </c>
      <c r="D9" s="56">
        <v>65</v>
      </c>
      <c r="E9" s="56">
        <v>75</v>
      </c>
      <c r="F9" s="56">
        <v>55</v>
      </c>
      <c r="G9" s="56">
        <v>215</v>
      </c>
      <c r="H9" s="9">
        <v>25</v>
      </c>
      <c r="I9" s="9" t="s">
        <v>25</v>
      </c>
      <c r="J9" s="9">
        <v>250</v>
      </c>
      <c r="K9" s="9"/>
      <c r="L9" s="9"/>
      <c r="M9" s="9"/>
      <c r="N9" s="10" t="b">
        <v>0</v>
      </c>
      <c r="O9" s="11"/>
      <c r="P9" s="12" cm="1">
        <f t="array" ref="P9">get_crack_width(D9,E9,F9,G9, N9, O9,H9,J9,K9,M9)</f>
        <v>0.29345787650468563</v>
      </c>
    </row>
    <row r="10" spans="1:16" ht="15.75" thickBot="1">
      <c r="A10" s="20" t="s">
        <v>23</v>
      </c>
      <c r="B10" s="21" t="s">
        <v>27</v>
      </c>
      <c r="C10" s="22">
        <f>$C$15-C12-C14</f>
        <v>91.899999999999991</v>
      </c>
      <c r="D10" s="56">
        <v>40</v>
      </c>
      <c r="E10" s="56">
        <v>50</v>
      </c>
      <c r="F10" s="56">
        <v>30</v>
      </c>
      <c r="G10" s="56">
        <v>165</v>
      </c>
      <c r="H10" s="9">
        <v>25</v>
      </c>
      <c r="I10" s="9" t="s">
        <v>25</v>
      </c>
      <c r="J10" s="9">
        <v>250</v>
      </c>
      <c r="K10" s="9"/>
      <c r="L10" s="9"/>
      <c r="M10" s="9"/>
      <c r="N10" s="10" t="b">
        <v>0</v>
      </c>
      <c r="O10" s="11"/>
      <c r="P10" s="12" cm="1">
        <f t="array" ref="P10">get_crack_width(D10,E10,F10,G10, N10, O10,H10,J10,K10,M10)</f>
        <v>0.29799003372680327</v>
      </c>
    </row>
    <row r="11" spans="1:16" ht="15.75" thickBot="1">
      <c r="A11" s="20" t="s">
        <v>73</v>
      </c>
      <c r="B11" s="21" t="s">
        <v>44</v>
      </c>
      <c r="C11" s="22">
        <v>0</v>
      </c>
      <c r="D11" s="56">
        <v>65</v>
      </c>
      <c r="E11" s="56">
        <v>75</v>
      </c>
      <c r="F11" s="56">
        <v>55</v>
      </c>
      <c r="G11" s="21">
        <v>0</v>
      </c>
      <c r="H11" s="9">
        <v>25</v>
      </c>
      <c r="I11" s="9" t="s">
        <v>25</v>
      </c>
      <c r="J11" s="9">
        <v>250</v>
      </c>
      <c r="K11" s="9"/>
      <c r="L11" s="9"/>
      <c r="M11" s="9"/>
      <c r="N11" s="10" t="b">
        <v>0</v>
      </c>
      <c r="O11" s="11"/>
      <c r="P11" s="12" cm="1">
        <f t="array" ref="P11">get_crack_width(D11,E11,F11,G11, N11, O11,H11,J11,K11,M11)</f>
        <v>0</v>
      </c>
    </row>
    <row r="12" spans="1:16" ht="15.75" thickBot="1">
      <c r="A12" s="20" t="s">
        <v>73</v>
      </c>
      <c r="B12" s="21" t="s">
        <v>27</v>
      </c>
      <c r="C12" s="22">
        <f>2*1*9.42</f>
        <v>18.84</v>
      </c>
      <c r="D12" s="56">
        <v>40</v>
      </c>
      <c r="E12" s="56">
        <v>50</v>
      </c>
      <c r="F12" s="56">
        <v>30</v>
      </c>
      <c r="G12" s="21">
        <v>220</v>
      </c>
      <c r="H12" s="9">
        <v>25</v>
      </c>
      <c r="I12" s="9" t="s">
        <v>25</v>
      </c>
      <c r="J12" s="9">
        <v>250</v>
      </c>
      <c r="K12" s="9">
        <v>20</v>
      </c>
      <c r="L12" s="9" t="s">
        <v>25</v>
      </c>
      <c r="M12" s="9">
        <v>250</v>
      </c>
      <c r="N12" s="10" t="b">
        <v>0</v>
      </c>
      <c r="O12" s="11"/>
      <c r="P12" s="12" cm="1">
        <f t="array" ref="P12">get_crack_width(D12,E12,F12,G12, N12, O12,H12,J12,K12,M12)</f>
        <v>0.23882544310158033</v>
      </c>
    </row>
    <row r="13" spans="1:16" ht="15.75" thickBot="1">
      <c r="A13" s="20" t="s">
        <v>45</v>
      </c>
      <c r="B13" s="21" t="s">
        <v>44</v>
      </c>
      <c r="C13" s="22">
        <f>2*11.75</f>
        <v>23.5</v>
      </c>
      <c r="D13" s="56">
        <v>65</v>
      </c>
      <c r="E13" s="56">
        <v>75</v>
      </c>
      <c r="F13" s="56">
        <v>55</v>
      </c>
      <c r="G13" s="21">
        <v>420</v>
      </c>
      <c r="H13" s="9">
        <v>25</v>
      </c>
      <c r="I13" s="9" t="s">
        <v>25</v>
      </c>
      <c r="J13" s="9">
        <v>125</v>
      </c>
      <c r="K13" s="9"/>
      <c r="L13" s="9"/>
      <c r="M13" s="9"/>
      <c r="N13" s="10" t="s">
        <v>74</v>
      </c>
      <c r="O13" s="11">
        <v>10</v>
      </c>
      <c r="P13" s="12" cm="1">
        <f t="array" ref="P13">get_crack_width(D13,E13,F13,G13, N13, O13,H13,J13,K13,M13)</f>
        <v>0.23872321166351815</v>
      </c>
    </row>
    <row r="14" spans="1:16" ht="15.75" thickBot="1">
      <c r="A14" s="20" t="s">
        <v>45</v>
      </c>
      <c r="B14" s="21" t="s">
        <v>27</v>
      </c>
      <c r="C14" s="22">
        <v>0</v>
      </c>
      <c r="D14" s="56">
        <v>40</v>
      </c>
      <c r="E14" s="56">
        <v>50</v>
      </c>
      <c r="F14" s="56">
        <v>30</v>
      </c>
      <c r="G14" s="21">
        <v>0</v>
      </c>
      <c r="H14" s="9">
        <v>25</v>
      </c>
      <c r="I14" s="9" t="s">
        <v>25</v>
      </c>
      <c r="J14" s="9">
        <v>250</v>
      </c>
      <c r="K14" s="9"/>
      <c r="L14" s="9"/>
      <c r="M14" s="9"/>
      <c r="N14" s="10" t="b">
        <v>0</v>
      </c>
      <c r="O14" s="11"/>
      <c r="P14" s="12" cm="1">
        <f t="array" ref="P14">get_crack_width(D14,E14,F14,G14, N14, O14,H14,J14,K14,M14)</f>
        <v>0</v>
      </c>
    </row>
    <row r="15" spans="1:16" ht="15.75" thickBot="1">
      <c r="A15" s="23" t="s">
        <v>32</v>
      </c>
      <c r="B15" s="21"/>
      <c r="C15" s="22">
        <v>110.74</v>
      </c>
      <c r="D15" s="22"/>
      <c r="E15" s="22"/>
      <c r="F15" s="22"/>
      <c r="G15" s="21"/>
      <c r="H15" s="9"/>
      <c r="I15" s="9"/>
      <c r="J15" s="9"/>
      <c r="K15" s="9"/>
      <c r="L15" s="9"/>
      <c r="M15" s="9"/>
      <c r="N15" s="10"/>
      <c r="O15" s="11"/>
      <c r="P15" s="9"/>
    </row>
  </sheetData>
  <mergeCells count="4">
    <mergeCell ref="H1:J1"/>
    <mergeCell ref="K1:M1"/>
    <mergeCell ref="H8:J8"/>
    <mergeCell ref="K8:M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FBAF-A214-43E8-B14E-F2FBE3880F26}">
  <sheetPr codeName="Sheet7"/>
  <dimension ref="A1:P11"/>
  <sheetViews>
    <sheetView zoomScale="145" zoomScaleNormal="145" workbookViewId="0">
      <selection activeCell="T10" sqref="T10"/>
    </sheetView>
  </sheetViews>
  <sheetFormatPr defaultRowHeight="15"/>
  <cols>
    <col min="1" max="1" width="13.875" style="7" bestFit="1" customWidth="1"/>
    <col min="2" max="2" width="9.125" style="7" bestFit="1" customWidth="1"/>
    <col min="3" max="3" width="8" style="7" bestFit="1" customWidth="1"/>
    <col min="4" max="6" width="9.125" style="7" hidden="1" customWidth="1"/>
    <col min="7" max="7" width="6.75" style="7" bestFit="1" customWidth="1"/>
    <col min="8" max="8" width="2.375" style="7" bestFit="1" customWidth="1"/>
    <col min="9" max="9" width="1.875" style="7" bestFit="1" customWidth="1"/>
    <col min="10" max="10" width="3.125" style="7" bestFit="1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7" customWidth="1"/>
    <col min="17" max="16384" width="9" style="7"/>
  </cols>
  <sheetData>
    <row r="1" spans="1:16" ht="36.75" customHeight="1" thickBot="1">
      <c r="A1" s="18" t="s">
        <v>36</v>
      </c>
      <c r="B1" s="19" t="s">
        <v>37</v>
      </c>
      <c r="C1" s="5" t="s">
        <v>17</v>
      </c>
      <c r="D1" s="26"/>
      <c r="E1" s="26"/>
      <c r="F1" s="26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</row>
    <row r="2" spans="1:16" ht="15.75" thickBot="1">
      <c r="A2" s="20" t="s">
        <v>23</v>
      </c>
      <c r="B2" s="21" t="s">
        <v>44</v>
      </c>
      <c r="C2" s="22">
        <f>C4</f>
        <v>150.74</v>
      </c>
      <c r="D2" s="56">
        <v>75</v>
      </c>
      <c r="E2" s="56">
        <v>65</v>
      </c>
      <c r="F2" s="56">
        <v>65</v>
      </c>
      <c r="G2" s="30">
        <v>185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0.2964943205509798</v>
      </c>
    </row>
    <row r="3" spans="1:16" ht="15.75" thickBot="1">
      <c r="A3" s="20" t="s">
        <v>23</v>
      </c>
      <c r="B3" s="21" t="s">
        <v>27</v>
      </c>
      <c r="C3" s="22">
        <f>C4</f>
        <v>150.74</v>
      </c>
      <c r="D3" s="56">
        <v>50</v>
      </c>
      <c r="E3" s="56">
        <v>40</v>
      </c>
      <c r="F3" s="56">
        <v>40</v>
      </c>
      <c r="G3" s="56">
        <v>290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0.29436334648373624</v>
      </c>
    </row>
    <row r="4" spans="1:16" ht="15.75" thickBot="1">
      <c r="A4" s="23" t="s">
        <v>32</v>
      </c>
      <c r="B4" s="21"/>
      <c r="C4" s="22">
        <v>150.74</v>
      </c>
      <c r="D4" s="21"/>
      <c r="E4" s="21"/>
      <c r="F4" s="21"/>
      <c r="G4" s="30"/>
      <c r="H4" s="9"/>
      <c r="I4" s="9"/>
      <c r="J4" s="9"/>
      <c r="K4" s="9"/>
      <c r="L4" s="9"/>
      <c r="M4" s="9"/>
      <c r="N4" s="10"/>
      <c r="O4" s="10"/>
      <c r="P4" s="12"/>
    </row>
    <row r="5" spans="1:16" ht="15.75" thickBot="1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10"/>
      <c r="O5" s="11"/>
      <c r="P5" s="12"/>
    </row>
    <row r="6" spans="1:16" ht="36.75" customHeight="1" thickBot="1">
      <c r="A6" s="18" t="s">
        <v>47</v>
      </c>
      <c r="B6" s="19" t="s">
        <v>37</v>
      </c>
      <c r="C6" s="26" t="s">
        <v>41</v>
      </c>
      <c r="D6" s="26"/>
      <c r="E6" s="26"/>
      <c r="F6" s="26"/>
      <c r="G6" s="26" t="s">
        <v>42</v>
      </c>
      <c r="H6" s="69" t="s">
        <v>19</v>
      </c>
      <c r="I6" s="70"/>
      <c r="J6" s="71"/>
      <c r="K6" s="69" t="s">
        <v>20</v>
      </c>
      <c r="L6" s="70"/>
      <c r="M6" s="71"/>
      <c r="N6" s="10"/>
      <c r="O6" s="11"/>
      <c r="P6" s="12"/>
    </row>
    <row r="7" spans="1:16" ht="15.75" thickBot="1">
      <c r="A7" s="20" t="s">
        <v>43</v>
      </c>
      <c r="B7" s="21" t="s">
        <v>44</v>
      </c>
      <c r="C7" s="22">
        <f>C11-C9</f>
        <v>91.04</v>
      </c>
      <c r="D7" s="56">
        <v>65</v>
      </c>
      <c r="E7" s="56">
        <v>75</v>
      </c>
      <c r="F7" s="56">
        <v>55</v>
      </c>
      <c r="G7" s="56">
        <v>215</v>
      </c>
      <c r="H7" s="9">
        <v>25</v>
      </c>
      <c r="I7" s="9" t="s">
        <v>25</v>
      </c>
      <c r="J7" s="9">
        <v>250</v>
      </c>
      <c r="K7" s="9"/>
      <c r="L7" s="9"/>
      <c r="M7" s="9"/>
      <c r="N7" s="10" t="b">
        <v>0</v>
      </c>
      <c r="O7" s="11">
        <v>16</v>
      </c>
      <c r="P7" s="12" cm="1">
        <f t="array" ref="P7">get_crack_width(D7,E7,F7,G7, N7, O7,H7,J7,K7,M7)</f>
        <v>0.29345787650468563</v>
      </c>
    </row>
    <row r="8" spans="1:16" ht="15.75" thickBot="1">
      <c r="A8" s="20" t="s">
        <v>43</v>
      </c>
      <c r="B8" s="21" t="s">
        <v>27</v>
      </c>
      <c r="C8" s="22">
        <f>C11-C10</f>
        <v>150.74</v>
      </c>
      <c r="D8" s="56">
        <v>40</v>
      </c>
      <c r="E8" s="56">
        <v>50</v>
      </c>
      <c r="F8" s="56">
        <v>30</v>
      </c>
      <c r="G8" s="56">
        <v>165</v>
      </c>
      <c r="H8" s="9">
        <v>25</v>
      </c>
      <c r="I8" s="9" t="s">
        <v>25</v>
      </c>
      <c r="J8" s="9">
        <v>250</v>
      </c>
      <c r="K8" s="9"/>
      <c r="L8" s="9"/>
      <c r="M8" s="9"/>
      <c r="N8" s="10" t="b">
        <v>0</v>
      </c>
      <c r="O8" s="11">
        <v>16</v>
      </c>
      <c r="P8" s="12" cm="1">
        <f t="array" ref="P8">get_crack_width(D8,E8,F8,G8, N8, O8,H8,J8,K8,M8)</f>
        <v>0.29799003372680327</v>
      </c>
    </row>
    <row r="9" spans="1:16" ht="15.75" thickBot="1">
      <c r="A9" s="20" t="s">
        <v>70</v>
      </c>
      <c r="B9" s="21" t="s">
        <v>44</v>
      </c>
      <c r="C9" s="22">
        <f>2*1*29.85</f>
        <v>59.7</v>
      </c>
      <c r="D9" s="56">
        <v>65</v>
      </c>
      <c r="E9" s="56">
        <v>75</v>
      </c>
      <c r="F9" s="56">
        <v>55</v>
      </c>
      <c r="G9" s="56">
        <v>270</v>
      </c>
      <c r="H9" s="9">
        <v>25</v>
      </c>
      <c r="I9" s="9" t="s">
        <v>25</v>
      </c>
      <c r="J9" s="9">
        <v>250</v>
      </c>
      <c r="K9" s="9">
        <v>20</v>
      </c>
      <c r="L9" s="9" t="s">
        <v>25</v>
      </c>
      <c r="M9" s="9">
        <v>250</v>
      </c>
      <c r="N9" s="10" t="b">
        <v>0</v>
      </c>
      <c r="O9" s="11">
        <v>10</v>
      </c>
      <c r="P9" s="12" cm="1">
        <f t="array" ref="P9">get_crack_width(D9,E9,F9,G9, N9, O9,H9,J9,K9,M9)</f>
        <v>0.17300657241911388</v>
      </c>
    </row>
    <row r="10" spans="1:16" ht="15.75" thickBot="1">
      <c r="A10" s="20" t="s">
        <v>70</v>
      </c>
      <c r="B10" s="21" t="s">
        <v>27</v>
      </c>
      <c r="C10" s="22">
        <v>0</v>
      </c>
      <c r="D10" s="56">
        <v>40</v>
      </c>
      <c r="E10" s="56">
        <v>50</v>
      </c>
      <c r="F10" s="56">
        <v>30</v>
      </c>
      <c r="G10" s="21"/>
      <c r="H10" s="9"/>
      <c r="I10" s="9"/>
      <c r="J10" s="9"/>
      <c r="K10" s="9"/>
      <c r="L10" s="9"/>
      <c r="M10" s="9"/>
      <c r="N10" s="10" t="b">
        <v>0</v>
      </c>
      <c r="O10" s="11">
        <v>10</v>
      </c>
      <c r="P10" s="12" cm="1">
        <f t="array" ref="P10">get_crack_width(D10,E10,F10,G10, N10, O10,H10,J10,K10,M10)</f>
        <v>0</v>
      </c>
    </row>
    <row r="11" spans="1:16" ht="15.75" thickBot="1">
      <c r="A11" s="23" t="s">
        <v>32</v>
      </c>
      <c r="B11" s="21"/>
      <c r="C11" s="22">
        <v>150.74</v>
      </c>
      <c r="D11" s="21"/>
      <c r="E11" s="21"/>
      <c r="F11" s="21"/>
      <c r="G11" s="21"/>
      <c r="H11" s="9"/>
      <c r="I11" s="9"/>
      <c r="J11" s="9"/>
      <c r="K11" s="9"/>
      <c r="L11" s="9"/>
      <c r="M11" s="9"/>
      <c r="N11" s="10"/>
      <c r="O11" s="11">
        <v>10</v>
      </c>
      <c r="P11" s="5"/>
    </row>
  </sheetData>
  <mergeCells count="4">
    <mergeCell ref="H1:J1"/>
    <mergeCell ref="K1:M1"/>
    <mergeCell ref="H6:J6"/>
    <mergeCell ref="K6:M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EDB6E-9011-4479-AD86-AD1CF700EBAE}">
  <sheetPr codeName="Sheet8"/>
  <dimension ref="A1:Q17"/>
  <sheetViews>
    <sheetView tabSelected="1" zoomScale="130" zoomScaleNormal="130" workbookViewId="0">
      <selection activeCell="R19" sqref="R19"/>
    </sheetView>
  </sheetViews>
  <sheetFormatPr defaultRowHeight="15"/>
  <cols>
    <col min="1" max="1" width="13.875" style="7" bestFit="1" customWidth="1"/>
    <col min="2" max="2" width="9.125" style="7" bestFit="1" customWidth="1"/>
    <col min="3" max="3" width="8" style="7" bestFit="1" customWidth="1"/>
    <col min="4" max="6" width="8" style="7" hidden="1" customWidth="1"/>
    <col min="7" max="7" width="6.75" style="7" bestFit="1" customWidth="1"/>
    <col min="8" max="8" width="2.375" style="7" bestFit="1" customWidth="1"/>
    <col min="9" max="9" width="1.875" style="7" bestFit="1" customWidth="1"/>
    <col min="10" max="10" width="3.125" style="7" bestFit="1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7" customWidth="1"/>
    <col min="17" max="16384" width="9" style="7"/>
  </cols>
  <sheetData>
    <row r="1" spans="1:17" ht="45.75" thickBot="1">
      <c r="A1" s="18" t="s">
        <v>48</v>
      </c>
      <c r="B1" s="19" t="s">
        <v>37</v>
      </c>
      <c r="C1" s="5" t="s">
        <v>17</v>
      </c>
      <c r="D1" s="52"/>
      <c r="E1" s="52"/>
      <c r="F1" s="52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</row>
    <row r="2" spans="1:17" ht="15.75" thickBot="1">
      <c r="A2" s="20" t="s">
        <v>23</v>
      </c>
      <c r="B2" s="21" t="s">
        <v>44</v>
      </c>
      <c r="C2" s="22">
        <f>$C$10-C4-C6-C8</f>
        <v>149.005</v>
      </c>
      <c r="D2" s="56">
        <v>75</v>
      </c>
      <c r="E2" s="56">
        <v>65</v>
      </c>
      <c r="F2" s="56">
        <v>65</v>
      </c>
      <c r="G2" s="56">
        <v>185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0.2964943205509798</v>
      </c>
    </row>
    <row r="3" spans="1:17" ht="15.75" thickBot="1">
      <c r="A3" s="20" t="s">
        <v>23</v>
      </c>
      <c r="B3" s="21" t="s">
        <v>27</v>
      </c>
      <c r="C3" s="22">
        <f>$C$10-C5-C7-C9</f>
        <v>176.63</v>
      </c>
      <c r="D3" s="56">
        <v>50</v>
      </c>
      <c r="E3" s="56">
        <v>40</v>
      </c>
      <c r="F3" s="56">
        <v>40</v>
      </c>
      <c r="G3" s="56">
        <v>290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0.29436334648373624</v>
      </c>
    </row>
    <row r="4" spans="1:17" ht="15.75" thickBot="1">
      <c r="A4" s="20" t="s">
        <v>75</v>
      </c>
      <c r="B4" s="21" t="s">
        <v>44</v>
      </c>
      <c r="C4" s="22">
        <f>2.5*29.85</f>
        <v>74.625</v>
      </c>
      <c r="D4" s="56">
        <v>75</v>
      </c>
      <c r="E4" s="56">
        <v>65</v>
      </c>
      <c r="F4" s="56">
        <v>65</v>
      </c>
      <c r="G4" s="56">
        <v>680</v>
      </c>
      <c r="H4" s="9">
        <v>25</v>
      </c>
      <c r="I4" s="9" t="s">
        <v>25</v>
      </c>
      <c r="J4" s="9">
        <v>125</v>
      </c>
      <c r="K4" s="9">
        <v>20</v>
      </c>
      <c r="L4" s="9" t="s">
        <v>25</v>
      </c>
      <c r="M4" s="9">
        <v>125</v>
      </c>
      <c r="N4" s="10" t="b">
        <v>1</v>
      </c>
      <c r="O4" s="10">
        <v>12</v>
      </c>
      <c r="P4" s="12" cm="1">
        <f t="array" ref="P4">get_crack_width(D4,E4,F4,G4, N4, O4,H4,J4,K4,M4)</f>
        <v>0.27591383357417565</v>
      </c>
    </row>
    <row r="5" spans="1:17" ht="15.75" thickBot="1">
      <c r="A5" s="20" t="s">
        <v>75</v>
      </c>
      <c r="B5" s="21" t="s">
        <v>27</v>
      </c>
      <c r="C5" s="22">
        <v>0</v>
      </c>
      <c r="D5" s="56">
        <v>50</v>
      </c>
      <c r="E5" s="56">
        <v>40</v>
      </c>
      <c r="F5" s="56">
        <v>40</v>
      </c>
      <c r="G5" s="56">
        <v>0</v>
      </c>
      <c r="H5" s="9">
        <v>25</v>
      </c>
      <c r="I5" s="9" t="s">
        <v>25</v>
      </c>
      <c r="J5" s="9">
        <v>250</v>
      </c>
      <c r="K5" s="9"/>
      <c r="L5" s="9"/>
      <c r="M5" s="9"/>
      <c r="N5" s="10" t="b">
        <v>1</v>
      </c>
      <c r="O5" s="10">
        <v>12</v>
      </c>
      <c r="P5" s="12" cm="1">
        <f t="array" ref="P5">get_crack_width(D5,E5,F5,G5, N5, O5,H5,J5,K5,M5)</f>
        <v>0</v>
      </c>
    </row>
    <row r="6" spans="1:17" ht="15" customHeight="1" thickBot="1">
      <c r="A6" s="20" t="s">
        <v>76</v>
      </c>
      <c r="B6" s="21" t="s">
        <v>44</v>
      </c>
      <c r="C6" s="22">
        <f>2*9.05*2</f>
        <v>36.200000000000003</v>
      </c>
      <c r="D6" s="56">
        <v>75</v>
      </c>
      <c r="E6" s="56">
        <v>65</v>
      </c>
      <c r="F6" s="56">
        <v>65</v>
      </c>
      <c r="G6" s="56">
        <v>315</v>
      </c>
      <c r="H6" s="9">
        <v>25</v>
      </c>
      <c r="I6" s="9" t="s">
        <v>25</v>
      </c>
      <c r="J6" s="9">
        <v>250</v>
      </c>
      <c r="K6" s="9">
        <v>20</v>
      </c>
      <c r="L6" s="9" t="s">
        <v>25</v>
      </c>
      <c r="M6" s="9">
        <v>250</v>
      </c>
      <c r="N6" s="10" t="b">
        <v>1</v>
      </c>
      <c r="O6" s="10">
        <v>10</v>
      </c>
      <c r="P6" s="12" cm="1">
        <f t="array" ref="P6">get_crack_width(D6,E6,F6,G6, N6, O6,H6,J6,K6,M6)</f>
        <v>0.24429760420394331</v>
      </c>
    </row>
    <row r="7" spans="1:17" ht="15.75" thickBot="1">
      <c r="A7" s="20" t="s">
        <v>76</v>
      </c>
      <c r="B7" s="21" t="s">
        <v>27</v>
      </c>
      <c r="C7" s="22">
        <v>0</v>
      </c>
      <c r="D7" s="56">
        <v>50</v>
      </c>
      <c r="E7" s="56">
        <v>40</v>
      </c>
      <c r="F7" s="56">
        <v>40</v>
      </c>
      <c r="G7" s="56">
        <v>0</v>
      </c>
      <c r="H7" s="9">
        <v>25</v>
      </c>
      <c r="I7" s="9" t="s">
        <v>25</v>
      </c>
      <c r="J7" s="9">
        <v>250</v>
      </c>
      <c r="K7" s="9"/>
      <c r="L7" s="9"/>
      <c r="M7" s="9"/>
      <c r="N7" s="10" t="b">
        <v>1</v>
      </c>
      <c r="O7" s="10">
        <v>10</v>
      </c>
      <c r="P7" s="12" cm="1">
        <f t="array" ref="P7">get_crack_width(D7,E7,F7,G7, N7, O7,H7,J7,K7,M7)</f>
        <v>0</v>
      </c>
    </row>
    <row r="8" spans="1:17" ht="15.75" thickBot="1">
      <c r="A8" s="20" t="s">
        <v>77</v>
      </c>
      <c r="B8" s="21" t="s">
        <v>44</v>
      </c>
      <c r="C8" s="22">
        <f>2*4</f>
        <v>8</v>
      </c>
      <c r="D8" s="56">
        <v>75</v>
      </c>
      <c r="E8" s="56">
        <v>65</v>
      </c>
      <c r="F8" s="56">
        <v>65</v>
      </c>
      <c r="G8" s="56">
        <v>250</v>
      </c>
      <c r="H8" s="9">
        <v>25</v>
      </c>
      <c r="I8" s="9" t="s">
        <v>25</v>
      </c>
      <c r="J8" s="9">
        <v>250</v>
      </c>
      <c r="K8" s="9">
        <v>20</v>
      </c>
      <c r="L8" s="9" t="s">
        <v>25</v>
      </c>
      <c r="M8" s="9">
        <v>250</v>
      </c>
      <c r="N8" s="10" t="b">
        <v>1</v>
      </c>
      <c r="O8" s="10">
        <v>12</v>
      </c>
      <c r="P8" s="12" cm="1">
        <f t="array" ref="P8">get_crack_width(D8,E8,F8,G8, N8, O8,H8,J8,K8,M8)</f>
        <v>0.19737953610953621</v>
      </c>
    </row>
    <row r="9" spans="1:17" ht="15.75" thickBot="1">
      <c r="A9" s="20" t="s">
        <v>77</v>
      </c>
      <c r="B9" s="21" t="s">
        <v>27</v>
      </c>
      <c r="C9" s="22">
        <f>2*15.2*3</f>
        <v>91.199999999999989</v>
      </c>
      <c r="D9" s="56">
        <v>50</v>
      </c>
      <c r="E9" s="56">
        <v>40</v>
      </c>
      <c r="F9" s="56">
        <v>40</v>
      </c>
      <c r="G9" s="56">
        <v>780</v>
      </c>
      <c r="H9" s="9">
        <v>25</v>
      </c>
      <c r="I9" s="9" t="s">
        <v>25</v>
      </c>
      <c r="J9" s="9">
        <v>125</v>
      </c>
      <c r="K9" s="9">
        <v>25</v>
      </c>
      <c r="L9" s="9" t="s">
        <v>25</v>
      </c>
      <c r="M9" s="9">
        <v>250</v>
      </c>
      <c r="N9" s="10" t="b">
        <v>1</v>
      </c>
      <c r="O9" s="10">
        <v>12</v>
      </c>
      <c r="P9" s="12" cm="1">
        <f t="array" ref="P9">get_crack_width(D9,E9,F9,G9, N9, O9,H9,J9,K9,M9)</f>
        <v>0.27559326908913762</v>
      </c>
    </row>
    <row r="10" spans="1:17" ht="15.75" thickBot="1">
      <c r="A10" s="23" t="s">
        <v>32</v>
      </c>
      <c r="B10" s="21"/>
      <c r="C10" s="22">
        <v>267.83</v>
      </c>
      <c r="D10" s="22"/>
      <c r="E10" s="22"/>
      <c r="F10" s="22"/>
      <c r="G10" s="21"/>
      <c r="H10" s="9"/>
      <c r="I10" s="9"/>
      <c r="J10" s="9"/>
      <c r="K10" s="9"/>
      <c r="L10" s="9"/>
      <c r="M10" s="9"/>
      <c r="N10" s="10"/>
      <c r="O10" s="10"/>
      <c r="P10" s="12"/>
    </row>
    <row r="11" spans="1:17" ht="15.75" thickBot="1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10"/>
      <c r="O11" s="10"/>
      <c r="P11" s="12"/>
      <c r="Q11" s="14"/>
    </row>
    <row r="12" spans="1:17" ht="23.25" thickBot="1">
      <c r="A12" s="18" t="s">
        <v>47</v>
      </c>
      <c r="B12" s="19" t="s">
        <v>37</v>
      </c>
      <c r="C12" s="26" t="s">
        <v>41</v>
      </c>
      <c r="D12" s="26"/>
      <c r="E12" s="26"/>
      <c r="F12" s="26"/>
      <c r="G12" s="26" t="s">
        <v>42</v>
      </c>
      <c r="H12" s="69" t="s">
        <v>19</v>
      </c>
      <c r="I12" s="70"/>
      <c r="J12" s="71"/>
      <c r="K12" s="69" t="s">
        <v>20</v>
      </c>
      <c r="L12" s="70"/>
      <c r="M12" s="71"/>
      <c r="N12" s="10"/>
      <c r="O12" s="11"/>
      <c r="P12" s="12"/>
    </row>
    <row r="13" spans="1:17" ht="15.75" thickBot="1">
      <c r="A13" s="20" t="s">
        <v>43</v>
      </c>
      <c r="B13" s="21" t="s">
        <v>44</v>
      </c>
      <c r="C13" s="22">
        <f>$C$17-C15</f>
        <v>192.82999999999998</v>
      </c>
      <c r="D13" s="56">
        <v>65</v>
      </c>
      <c r="E13" s="56">
        <v>75</v>
      </c>
      <c r="F13" s="56">
        <v>55</v>
      </c>
      <c r="G13" s="56">
        <v>215</v>
      </c>
      <c r="H13" s="9">
        <v>25</v>
      </c>
      <c r="I13" s="9" t="s">
        <v>25</v>
      </c>
      <c r="J13" s="9">
        <v>250</v>
      </c>
      <c r="K13" s="9"/>
      <c r="L13" s="9"/>
      <c r="M13" s="9"/>
      <c r="N13" s="10" t="b">
        <v>0</v>
      </c>
      <c r="O13" s="11"/>
      <c r="P13" s="12" cm="1">
        <f t="array" ref="P13">get_crack_width(D13,E13,F13,G13, N13, O13,H13,J13,K13,M13)</f>
        <v>0.29345787650468563</v>
      </c>
    </row>
    <row r="14" spans="1:17" ht="15.75" thickBot="1">
      <c r="A14" s="20" t="s">
        <v>43</v>
      </c>
      <c r="B14" s="21" t="s">
        <v>27</v>
      </c>
      <c r="C14" s="22">
        <f>$C$17-C16</f>
        <v>190.82999999999998</v>
      </c>
      <c r="D14" s="56">
        <v>40</v>
      </c>
      <c r="E14" s="56">
        <v>50</v>
      </c>
      <c r="F14" s="56">
        <v>30</v>
      </c>
      <c r="G14" s="56">
        <v>165</v>
      </c>
      <c r="H14" s="9">
        <v>25</v>
      </c>
      <c r="I14" s="9" t="s">
        <v>25</v>
      </c>
      <c r="J14" s="9">
        <v>250</v>
      </c>
      <c r="K14" s="9"/>
      <c r="L14" s="9"/>
      <c r="M14" s="9"/>
      <c r="N14" s="10" t="b">
        <v>0</v>
      </c>
      <c r="O14" s="11"/>
      <c r="P14" s="12" cm="1">
        <f t="array" ref="P14">get_crack_width(D14,E14,F14,G14, N14, O14,H14,J14,K14,M14)</f>
        <v>0.29799003372680327</v>
      </c>
    </row>
    <row r="15" spans="1:17" ht="15.75" thickBot="1">
      <c r="A15" s="20" t="s">
        <v>78</v>
      </c>
      <c r="B15" s="21" t="s">
        <v>44</v>
      </c>
      <c r="C15" s="22">
        <f>7.5*10</f>
        <v>75</v>
      </c>
      <c r="D15" s="56">
        <v>65</v>
      </c>
      <c r="E15" s="56">
        <v>75</v>
      </c>
      <c r="F15" s="56">
        <v>55</v>
      </c>
      <c r="G15" s="56">
        <v>350</v>
      </c>
      <c r="H15" s="9">
        <v>25</v>
      </c>
      <c r="I15" s="9" t="s">
        <v>25</v>
      </c>
      <c r="J15" s="9">
        <v>250</v>
      </c>
      <c r="K15" s="9">
        <v>20</v>
      </c>
      <c r="L15" s="9" t="s">
        <v>25</v>
      </c>
      <c r="M15" s="9">
        <v>250</v>
      </c>
      <c r="N15" s="10" t="b">
        <v>0</v>
      </c>
      <c r="O15" s="11"/>
      <c r="P15" s="12" cm="1">
        <f t="array" ref="P15">get_crack_width(D15,E15,F15,G15, N15, O15,H15,J15,K15,M15)</f>
        <v>0.22426777906181428</v>
      </c>
    </row>
    <row r="16" spans="1:17" ht="15.75" thickBot="1">
      <c r="A16" s="20" t="s">
        <v>78</v>
      </c>
      <c r="B16" s="21" t="s">
        <v>27</v>
      </c>
      <c r="C16" s="22">
        <f>11*7</f>
        <v>77</v>
      </c>
      <c r="D16" s="56">
        <v>40</v>
      </c>
      <c r="E16" s="56">
        <v>50</v>
      </c>
      <c r="F16" s="56">
        <v>30</v>
      </c>
      <c r="G16" s="56">
        <v>490</v>
      </c>
      <c r="H16" s="9">
        <v>25</v>
      </c>
      <c r="I16" s="9" t="s">
        <v>25</v>
      </c>
      <c r="J16" s="9">
        <v>125</v>
      </c>
      <c r="K16" s="9"/>
      <c r="L16" s="9"/>
      <c r="M16" s="9"/>
      <c r="N16" s="10" t="b">
        <v>0</v>
      </c>
      <c r="O16" s="11"/>
      <c r="P16" s="12" cm="1">
        <f t="array" ref="P16">get_crack_width(D16,E16,F16,G16, N16, O16,H16,J16,K16,M16)</f>
        <v>0.17130463079338878</v>
      </c>
    </row>
    <row r="17" spans="1:16" ht="15.75" thickBot="1">
      <c r="A17" s="23" t="s">
        <v>32</v>
      </c>
      <c r="B17" s="21"/>
      <c r="C17" s="22">
        <v>267.83</v>
      </c>
      <c r="D17" s="22"/>
      <c r="E17" s="22"/>
      <c r="F17" s="22"/>
      <c r="G17" s="21"/>
      <c r="H17" s="9"/>
      <c r="I17" s="9"/>
      <c r="J17" s="9"/>
      <c r="K17" s="9"/>
      <c r="L17" s="9"/>
      <c r="M17" s="9"/>
      <c r="N17" s="10" t="b">
        <v>0</v>
      </c>
      <c r="O17" s="11"/>
      <c r="P17" s="12" cm="1">
        <f t="array" ref="P17">get_crack_width(D17,E17,F17,G17, N17, O17,H17,J17,K17,M17)</f>
        <v>0</v>
      </c>
    </row>
  </sheetData>
  <mergeCells count="5">
    <mergeCell ref="H1:J1"/>
    <mergeCell ref="K1:M1"/>
    <mergeCell ref="A11:M11"/>
    <mergeCell ref="H12:J12"/>
    <mergeCell ref="K12:M1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EC49-570C-4760-B297-B78B578BBA2A}">
  <sheetPr codeName="Sheet9"/>
  <dimension ref="A1:R25"/>
  <sheetViews>
    <sheetView topLeftCell="A7" zoomScale="130" zoomScaleNormal="130" workbookViewId="0">
      <selection activeCell="R16" sqref="R16"/>
    </sheetView>
  </sheetViews>
  <sheetFormatPr defaultRowHeight="15"/>
  <cols>
    <col min="1" max="1" width="12.625" style="7" customWidth="1"/>
    <col min="2" max="2" width="7.25" style="7" customWidth="1"/>
    <col min="3" max="3" width="8.25" style="7" customWidth="1"/>
    <col min="4" max="6" width="8.25" style="7" hidden="1" customWidth="1"/>
    <col min="7" max="7" width="9.375" style="7" customWidth="1"/>
    <col min="8" max="8" width="2.875" style="7" customWidth="1"/>
    <col min="9" max="9" width="1.875" style="7" bestFit="1" customWidth="1"/>
    <col min="10" max="10" width="3.875" style="7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10" style="7" customWidth="1"/>
    <col min="17" max="16384" width="9" style="7"/>
  </cols>
  <sheetData>
    <row r="1" spans="1:18" ht="34.5" customHeight="1" thickBot="1">
      <c r="A1" s="49" t="s">
        <v>47</v>
      </c>
      <c r="B1" s="4" t="s">
        <v>16</v>
      </c>
      <c r="C1" s="44" t="s">
        <v>17</v>
      </c>
      <c r="D1" s="43"/>
      <c r="E1" s="43"/>
      <c r="F1" s="43"/>
      <c r="G1" s="44" t="s">
        <v>18</v>
      </c>
      <c r="H1" s="69" t="s">
        <v>19</v>
      </c>
      <c r="I1" s="70"/>
      <c r="J1" s="71"/>
      <c r="K1" s="69" t="s">
        <v>20</v>
      </c>
      <c r="L1" s="70"/>
      <c r="M1" s="71"/>
      <c r="N1" s="44" t="s">
        <v>50</v>
      </c>
      <c r="O1" s="43" t="s">
        <v>56</v>
      </c>
      <c r="P1" s="36" t="s">
        <v>55</v>
      </c>
    </row>
    <row r="2" spans="1:18" ht="15.75" thickBot="1">
      <c r="A2" s="8" t="s">
        <v>23</v>
      </c>
      <c r="B2" s="9" t="s">
        <v>24</v>
      </c>
      <c r="C2" s="10">
        <f>$C$12-C4-C6-C8-C10</f>
        <v>269.18</v>
      </c>
      <c r="D2" s="11">
        <v>70</v>
      </c>
      <c r="E2" s="11">
        <v>75</v>
      </c>
      <c r="F2" s="11">
        <v>55</v>
      </c>
      <c r="G2" s="11">
        <v>215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0.29573969330236749</v>
      </c>
    </row>
    <row r="3" spans="1:18" ht="15.75" thickBot="1">
      <c r="A3" s="8" t="s">
        <v>23</v>
      </c>
      <c r="B3" s="9" t="s">
        <v>27</v>
      </c>
      <c r="C3" s="10">
        <f>$C$12-C5-C7-C9-C11</f>
        <v>265.88</v>
      </c>
      <c r="D3" s="11">
        <v>45</v>
      </c>
      <c r="E3" s="11">
        <v>50</v>
      </c>
      <c r="F3" s="11">
        <v>30</v>
      </c>
      <c r="G3" s="11">
        <v>160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0.29146247375084156</v>
      </c>
    </row>
    <row r="4" spans="1:18" ht="15.75" thickBot="1">
      <c r="A4" s="8" t="s">
        <v>28</v>
      </c>
      <c r="B4" s="9" t="s">
        <v>24</v>
      </c>
      <c r="C4" s="10">
        <f>3*3</f>
        <v>9</v>
      </c>
      <c r="D4" s="11">
        <v>70</v>
      </c>
      <c r="E4" s="11">
        <v>75</v>
      </c>
      <c r="F4" s="11">
        <v>55</v>
      </c>
      <c r="G4" s="11">
        <v>630</v>
      </c>
      <c r="H4" s="9">
        <v>25</v>
      </c>
      <c r="I4" s="9" t="s">
        <v>25</v>
      </c>
      <c r="J4" s="9">
        <v>125</v>
      </c>
      <c r="K4" s="9">
        <v>20</v>
      </c>
      <c r="L4" s="9" t="s">
        <v>25</v>
      </c>
      <c r="M4" s="9">
        <v>250</v>
      </c>
      <c r="N4" s="10" t="b">
        <v>0</v>
      </c>
      <c r="O4" s="10"/>
      <c r="P4" s="12" cm="1">
        <f t="array" ref="P4">get_crack_width(D4,E4,F4,G4, N4, O4,H4,J4,K4,M4)</f>
        <v>0.25565862084781704</v>
      </c>
    </row>
    <row r="5" spans="1:18" ht="15.75" thickBot="1">
      <c r="A5" s="8" t="s">
        <v>28</v>
      </c>
      <c r="B5" s="9" t="s">
        <v>27</v>
      </c>
      <c r="C5" s="10">
        <f>3*3</f>
        <v>9</v>
      </c>
      <c r="D5" s="11">
        <v>45</v>
      </c>
      <c r="E5" s="11">
        <v>50</v>
      </c>
      <c r="F5" s="11">
        <v>30</v>
      </c>
      <c r="G5" s="11">
        <v>690</v>
      </c>
      <c r="H5" s="9">
        <v>25</v>
      </c>
      <c r="I5" s="9" t="s">
        <v>25</v>
      </c>
      <c r="J5" s="9">
        <v>125</v>
      </c>
      <c r="K5" s="9">
        <v>20</v>
      </c>
      <c r="L5" s="9" t="s">
        <v>25</v>
      </c>
      <c r="M5" s="9">
        <v>250</v>
      </c>
      <c r="N5" s="10" t="b">
        <v>0</v>
      </c>
      <c r="O5" s="10"/>
      <c r="P5" s="12" cm="1">
        <f t="array" ref="P5">get_crack_width(D5,E5,F5,G5, N5, O5,H5,J5,K5,M5)</f>
        <v>0.18688339879738514</v>
      </c>
      <c r="Q5" s="31"/>
      <c r="R5" s="31"/>
    </row>
    <row r="6" spans="1:18" ht="23.25" thickBot="1">
      <c r="A6" s="8" t="s">
        <v>63</v>
      </c>
      <c r="B6" s="9" t="s">
        <v>24</v>
      </c>
      <c r="C6" s="10">
        <f>11.75*2+2*9.05*2</f>
        <v>59.7</v>
      </c>
      <c r="D6" s="11">
        <v>70</v>
      </c>
      <c r="E6" s="11">
        <v>75</v>
      </c>
      <c r="F6" s="11">
        <v>55</v>
      </c>
      <c r="G6" s="11">
        <v>0</v>
      </c>
      <c r="H6" s="9"/>
      <c r="I6" s="9"/>
      <c r="J6" s="9"/>
      <c r="K6" s="9"/>
      <c r="L6" s="9"/>
      <c r="M6" s="9"/>
      <c r="N6" s="10"/>
      <c r="O6" s="11"/>
      <c r="P6" s="12"/>
      <c r="Q6" s="31"/>
      <c r="R6" s="31"/>
    </row>
    <row r="7" spans="1:18" ht="23.25" thickBot="1">
      <c r="A7" s="8" t="s">
        <v>63</v>
      </c>
      <c r="B7" s="9" t="s">
        <v>27</v>
      </c>
      <c r="C7" s="10">
        <f>11.75*2+2*9.05*2</f>
        <v>59.7</v>
      </c>
      <c r="D7" s="11">
        <v>45</v>
      </c>
      <c r="E7" s="11">
        <v>50</v>
      </c>
      <c r="F7" s="11">
        <v>30</v>
      </c>
      <c r="G7" s="11">
        <v>0</v>
      </c>
      <c r="H7" s="9"/>
      <c r="I7" s="9"/>
      <c r="J7" s="9"/>
      <c r="K7" s="9"/>
      <c r="L7" s="9"/>
      <c r="M7" s="9"/>
      <c r="N7" s="10"/>
      <c r="O7" s="11"/>
      <c r="P7" s="12"/>
      <c r="Q7" s="31"/>
      <c r="R7" s="31"/>
    </row>
    <row r="8" spans="1:18" ht="15.75" thickBot="1">
      <c r="A8" s="8" t="s">
        <v>64</v>
      </c>
      <c r="B8" s="9" t="s">
        <v>24</v>
      </c>
      <c r="C8" s="10">
        <v>10</v>
      </c>
      <c r="D8" s="11">
        <v>70</v>
      </c>
      <c r="E8" s="11">
        <v>75</v>
      </c>
      <c r="F8" s="11">
        <v>55</v>
      </c>
      <c r="G8" s="11">
        <v>570</v>
      </c>
      <c r="H8" s="9">
        <v>25</v>
      </c>
      <c r="I8" s="9" t="s">
        <v>25</v>
      </c>
      <c r="J8" s="9">
        <v>125</v>
      </c>
      <c r="K8" s="9">
        <v>25</v>
      </c>
      <c r="L8" s="9" t="s">
        <v>25</v>
      </c>
      <c r="M8" s="9">
        <v>250</v>
      </c>
      <c r="N8" s="10" t="b">
        <v>1</v>
      </c>
      <c r="O8" s="11">
        <v>12</v>
      </c>
      <c r="P8" s="12" cm="1">
        <f t="array" ref="P8">get_crack_width(D8,E8,F8,G8, N8, O8,H8,J8,K8,M8)</f>
        <v>0.22634333909335944</v>
      </c>
      <c r="Q8" s="31"/>
      <c r="R8" s="31"/>
    </row>
    <row r="9" spans="1:18" ht="15.75" thickBot="1">
      <c r="A9" s="8" t="s">
        <v>64</v>
      </c>
      <c r="B9" s="9" t="s">
        <v>27</v>
      </c>
      <c r="C9" s="10">
        <v>10</v>
      </c>
      <c r="D9" s="11">
        <v>45</v>
      </c>
      <c r="E9" s="11">
        <v>50</v>
      </c>
      <c r="F9" s="11">
        <v>30</v>
      </c>
      <c r="G9" s="11">
        <v>840</v>
      </c>
      <c r="H9" s="9">
        <v>25</v>
      </c>
      <c r="I9" s="9" t="s">
        <v>25</v>
      </c>
      <c r="J9" s="9">
        <v>125</v>
      </c>
      <c r="K9" s="9">
        <v>25</v>
      </c>
      <c r="L9" s="9" t="s">
        <v>25</v>
      </c>
      <c r="M9" s="9">
        <v>250</v>
      </c>
      <c r="N9" s="10" t="b">
        <v>1</v>
      </c>
      <c r="O9" s="11">
        <v>12</v>
      </c>
      <c r="P9" s="12" cm="1">
        <f t="array" ref="P9">get_crack_width(D9,E9,F9,G9, N9, O9,H9,J9,K9,M9)</f>
        <v>0.2632993059941654</v>
      </c>
    </row>
    <row r="10" spans="1:18" ht="15.75" thickBot="1">
      <c r="A10" s="8" t="s">
        <v>30</v>
      </c>
      <c r="B10" s="9" t="s">
        <v>24</v>
      </c>
      <c r="C10" s="10">
        <f>29.85*2</f>
        <v>59.7</v>
      </c>
      <c r="D10" s="11">
        <v>70</v>
      </c>
      <c r="E10" s="11">
        <v>75</v>
      </c>
      <c r="F10" s="11">
        <v>55</v>
      </c>
      <c r="G10" s="11">
        <v>260</v>
      </c>
      <c r="H10" s="9">
        <v>25</v>
      </c>
      <c r="I10" s="9" t="s">
        <v>25</v>
      </c>
      <c r="J10" s="9">
        <v>250</v>
      </c>
      <c r="K10" s="9">
        <v>20</v>
      </c>
      <c r="L10" s="9" t="s">
        <v>25</v>
      </c>
      <c r="M10" s="9">
        <v>250</v>
      </c>
      <c r="N10" s="10" t="b">
        <v>1</v>
      </c>
      <c r="O10" s="11">
        <v>10</v>
      </c>
      <c r="P10" s="12" cm="1">
        <f t="array" ref="P10">get_crack_width(D10,E10,F10,G10, N10, O10,H10,J10,K10,M10)</f>
        <v>0.18464700430345235</v>
      </c>
    </row>
    <row r="11" spans="1:18" ht="15.75" thickBot="1">
      <c r="A11" s="8" t="s">
        <v>31</v>
      </c>
      <c r="B11" s="9" t="s">
        <v>27</v>
      </c>
      <c r="C11" s="10">
        <f>2*15.75*2</f>
        <v>63</v>
      </c>
      <c r="D11" s="11">
        <v>45</v>
      </c>
      <c r="E11" s="11">
        <v>50</v>
      </c>
      <c r="F11" s="11">
        <v>30</v>
      </c>
      <c r="G11" s="11">
        <v>300</v>
      </c>
      <c r="H11" s="9">
        <v>25</v>
      </c>
      <c r="I11" s="9" t="s">
        <v>25</v>
      </c>
      <c r="J11" s="9">
        <v>250</v>
      </c>
      <c r="K11" s="9">
        <v>20</v>
      </c>
      <c r="L11" s="9" t="s">
        <v>25</v>
      </c>
      <c r="M11" s="9">
        <v>250</v>
      </c>
      <c r="N11" s="10" t="b">
        <v>1</v>
      </c>
      <c r="O11" s="11">
        <v>10</v>
      </c>
      <c r="P11" s="12" cm="1">
        <f t="array" ref="P11">get_crack_width(D11,E11,F11,G11, N11, O11,H11,J11,K11,M11)</f>
        <v>0.16349341577745224</v>
      </c>
    </row>
    <row r="12" spans="1:18" ht="15.75" thickBot="1">
      <c r="A12" s="13" t="s">
        <v>32</v>
      </c>
      <c r="B12" s="37"/>
      <c r="C12" s="48">
        <v>407.58</v>
      </c>
      <c r="D12" s="40"/>
      <c r="E12" s="40"/>
      <c r="F12" s="40"/>
      <c r="G12" s="39"/>
      <c r="H12" s="37"/>
      <c r="I12" s="37"/>
      <c r="J12" s="37"/>
      <c r="K12" s="37"/>
      <c r="L12" s="37"/>
      <c r="M12" s="37"/>
      <c r="N12" s="38"/>
      <c r="O12" s="38"/>
      <c r="P12" s="12"/>
    </row>
    <row r="13" spans="1:18" ht="16.5" customHeight="1" thickBot="1">
      <c r="A13" s="62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4"/>
    </row>
    <row r="14" spans="1:18" ht="23.25" thickBot="1">
      <c r="A14" s="49" t="s">
        <v>48</v>
      </c>
      <c r="B14" s="35" t="s">
        <v>16</v>
      </c>
      <c r="C14" s="43" t="s">
        <v>51</v>
      </c>
      <c r="D14" s="42"/>
      <c r="E14" s="42"/>
      <c r="F14" s="42"/>
      <c r="G14" s="44" t="s">
        <v>52</v>
      </c>
      <c r="H14" s="66" t="s">
        <v>53</v>
      </c>
      <c r="I14" s="67"/>
      <c r="J14" s="68"/>
      <c r="K14" s="66" t="s">
        <v>54</v>
      </c>
      <c r="L14" s="67"/>
      <c r="M14" s="68"/>
      <c r="N14" s="10"/>
      <c r="O14" s="10"/>
      <c r="P14" s="12"/>
    </row>
    <row r="15" spans="1:18" ht="15.75" thickBot="1">
      <c r="A15" s="8" t="s">
        <v>23</v>
      </c>
      <c r="B15" s="9" t="s">
        <v>24</v>
      </c>
      <c r="C15" s="10">
        <f>$C$19-C17</f>
        <v>305.685</v>
      </c>
      <c r="D15" s="11">
        <v>75</v>
      </c>
      <c r="E15" s="11">
        <v>70</v>
      </c>
      <c r="F15" s="11">
        <v>65</v>
      </c>
      <c r="G15" s="11">
        <v>185</v>
      </c>
      <c r="H15" s="9">
        <v>25</v>
      </c>
      <c r="I15" s="9" t="s">
        <v>25</v>
      </c>
      <c r="J15" s="9">
        <v>250</v>
      </c>
      <c r="K15" s="9"/>
      <c r="L15" s="9"/>
      <c r="M15" s="9"/>
      <c r="N15" s="10" t="b">
        <v>0</v>
      </c>
      <c r="O15" s="10"/>
      <c r="P15" s="12" cm="1">
        <f t="array" ref="P15">get_crack_width(D15,E15,F15,G15, N15, O15,H15,J15,K15,M15)</f>
        <v>0.2964943205509798</v>
      </c>
    </row>
    <row r="16" spans="1:18" ht="15.75" thickBot="1">
      <c r="A16" s="8" t="s">
        <v>23</v>
      </c>
      <c r="B16" s="9" t="s">
        <v>27</v>
      </c>
      <c r="C16" s="10">
        <f>$C$19-C18</f>
        <v>343.58</v>
      </c>
      <c r="D16" s="11">
        <v>50</v>
      </c>
      <c r="E16" s="11">
        <v>45</v>
      </c>
      <c r="F16" s="11">
        <v>40</v>
      </c>
      <c r="G16" s="11">
        <v>290</v>
      </c>
      <c r="H16" s="9">
        <v>25</v>
      </c>
      <c r="I16" s="9" t="s">
        <v>25</v>
      </c>
      <c r="J16" s="9">
        <v>250</v>
      </c>
      <c r="K16" s="9"/>
      <c r="L16" s="9"/>
      <c r="M16" s="9"/>
      <c r="N16" s="10" t="b">
        <v>0</v>
      </c>
      <c r="O16" s="10"/>
      <c r="P16" s="12" cm="1">
        <f t="array" ref="P16">get_crack_width(D16,E16,F16,G16, N16, O16,H16,J16,K16,M16)</f>
        <v>0.29436334648373624</v>
      </c>
    </row>
    <row r="17" spans="1:16" ht="15.75" thickBot="1">
      <c r="A17" s="8" t="s">
        <v>35</v>
      </c>
      <c r="B17" s="9" t="s">
        <v>24</v>
      </c>
      <c r="C17" s="10">
        <f>C19/4</f>
        <v>101.895</v>
      </c>
      <c r="D17" s="11">
        <v>75</v>
      </c>
      <c r="E17" s="11">
        <v>70</v>
      </c>
      <c r="F17" s="11">
        <v>65</v>
      </c>
      <c r="G17" s="11">
        <v>270</v>
      </c>
      <c r="H17" s="9">
        <v>25</v>
      </c>
      <c r="I17" s="9" t="s">
        <v>25</v>
      </c>
      <c r="J17" s="9">
        <v>250</v>
      </c>
      <c r="K17" s="9">
        <v>20</v>
      </c>
      <c r="L17" s="9" t="s">
        <v>25</v>
      </c>
      <c r="M17" s="9">
        <v>250</v>
      </c>
      <c r="N17" s="10" t="b">
        <v>0</v>
      </c>
      <c r="O17" s="10"/>
      <c r="P17" s="12" cm="1">
        <f t="array" ref="P17">get_crack_width(D17,E17,F17,G17, N17, O17,H17,J17,K17,M17)</f>
        <v>0.19090620866573565</v>
      </c>
    </row>
    <row r="18" spans="1:16" ht="34.5" customHeight="1" thickBot="1">
      <c r="A18" s="8" t="s">
        <v>35</v>
      </c>
      <c r="B18" s="9" t="s">
        <v>27</v>
      </c>
      <c r="C18" s="10">
        <f>2*8*4</f>
        <v>64</v>
      </c>
      <c r="D18" s="11">
        <v>50</v>
      </c>
      <c r="E18" s="11">
        <v>45</v>
      </c>
      <c r="F18" s="11">
        <v>40</v>
      </c>
      <c r="G18" s="11">
        <v>350</v>
      </c>
      <c r="H18" s="9">
        <v>25</v>
      </c>
      <c r="I18" s="9" t="s">
        <v>25</v>
      </c>
      <c r="J18" s="9">
        <v>250</v>
      </c>
      <c r="K18" s="9">
        <v>20</v>
      </c>
      <c r="L18" s="9" t="s">
        <v>25</v>
      </c>
      <c r="M18" s="9">
        <v>250</v>
      </c>
      <c r="N18" s="10" t="b">
        <v>0</v>
      </c>
      <c r="O18" s="10"/>
      <c r="P18" s="12" cm="1">
        <f t="array" ref="P18">get_crack_width(D18,E18,F18,G18, N18, O18,H18,J18,K18,M18)</f>
        <v>0.18925180451648121</v>
      </c>
    </row>
    <row r="19" spans="1:16" ht="15" customHeight="1" thickBot="1">
      <c r="A19" s="13" t="s">
        <v>32</v>
      </c>
      <c r="B19" s="37"/>
      <c r="C19" s="48">
        <v>407.58</v>
      </c>
      <c r="D19" s="11"/>
      <c r="E19" s="11"/>
      <c r="F19" s="11"/>
      <c r="G19" s="37"/>
      <c r="H19" s="37"/>
      <c r="I19" s="37"/>
      <c r="J19" s="37"/>
      <c r="K19" s="37"/>
      <c r="L19" s="37"/>
      <c r="M19" s="37"/>
      <c r="N19" s="38"/>
      <c r="O19" s="38"/>
      <c r="P19" s="12"/>
    </row>
    <row r="24" spans="1:16" ht="15.75" customHeight="1"/>
    <row r="25" spans="1:16" ht="15" customHeight="1"/>
  </sheetData>
  <mergeCells count="4">
    <mergeCell ref="H1:J1"/>
    <mergeCell ref="K1:M1"/>
    <mergeCell ref="H14:J14"/>
    <mergeCell ref="K14:M1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52C9-2987-4A4A-9F2D-4F4E98632C19}">
  <sheetPr codeName="Sheet10"/>
  <dimension ref="A1:P17"/>
  <sheetViews>
    <sheetView zoomScale="145" zoomScaleNormal="145" workbookViewId="0">
      <selection activeCell="R14" sqref="R14"/>
    </sheetView>
  </sheetViews>
  <sheetFormatPr defaultRowHeight="15"/>
  <cols>
    <col min="1" max="1" width="14.25" style="7" bestFit="1" customWidth="1"/>
    <col min="2" max="2" width="9.125" style="7" bestFit="1" customWidth="1"/>
    <col min="3" max="3" width="8" style="7" bestFit="1" customWidth="1"/>
    <col min="4" max="6" width="8" style="7" hidden="1" customWidth="1"/>
    <col min="7" max="7" width="6.75" style="7" bestFit="1" customWidth="1"/>
    <col min="8" max="8" width="2.375" style="7" bestFit="1" customWidth="1"/>
    <col min="9" max="9" width="1.875" style="7" bestFit="1" customWidth="1"/>
    <col min="10" max="10" width="3.125" style="7" bestFit="1" customWidth="1"/>
    <col min="11" max="11" width="2.375" style="7" bestFit="1" customWidth="1"/>
    <col min="12" max="12" width="2.25" style="7" bestFit="1" customWidth="1"/>
    <col min="13" max="13" width="3.125" style="7" bestFit="1" customWidth="1"/>
    <col min="14" max="15" width="8.125" style="7" customWidth="1"/>
    <col min="16" max="16" width="9.625" style="7" customWidth="1"/>
    <col min="17" max="16384" width="9" style="7"/>
  </cols>
  <sheetData>
    <row r="1" spans="1:16" ht="36.75" customHeight="1" thickBot="1">
      <c r="A1" s="32" t="s">
        <v>48</v>
      </c>
      <c r="B1" s="19" t="s">
        <v>37</v>
      </c>
      <c r="C1" s="5" t="s">
        <v>17</v>
      </c>
      <c r="D1" s="52"/>
      <c r="E1" s="52"/>
      <c r="F1" s="52"/>
      <c r="G1" s="5" t="s">
        <v>18</v>
      </c>
      <c r="H1" s="69" t="s">
        <v>19</v>
      </c>
      <c r="I1" s="70"/>
      <c r="J1" s="71"/>
      <c r="K1" s="69" t="s">
        <v>20</v>
      </c>
      <c r="L1" s="70"/>
      <c r="M1" s="71"/>
      <c r="N1" s="52" t="s">
        <v>50</v>
      </c>
      <c r="O1" s="51" t="s">
        <v>56</v>
      </c>
      <c r="P1" s="33" t="s">
        <v>49</v>
      </c>
    </row>
    <row r="2" spans="1:16" ht="15.75" thickBot="1">
      <c r="A2" s="20" t="s">
        <v>23</v>
      </c>
      <c r="B2" s="21" t="s">
        <v>24</v>
      </c>
      <c r="C2" s="22">
        <f>C6</f>
        <v>62.56</v>
      </c>
      <c r="D2" s="11">
        <v>75</v>
      </c>
      <c r="E2" s="11">
        <v>70</v>
      </c>
      <c r="F2" s="11">
        <v>65</v>
      </c>
      <c r="G2" s="11">
        <v>185</v>
      </c>
      <c r="H2" s="9">
        <v>25</v>
      </c>
      <c r="I2" s="9" t="s">
        <v>25</v>
      </c>
      <c r="J2" s="9">
        <v>250</v>
      </c>
      <c r="K2" s="9"/>
      <c r="L2" s="9"/>
      <c r="M2" s="9"/>
      <c r="N2" s="10" t="b">
        <v>0</v>
      </c>
      <c r="O2" s="10"/>
      <c r="P2" s="12" cm="1">
        <f t="array" ref="P2">get_crack_width(D2,E2,F2,G2, N2, O2,H2,J2,K2,M2)</f>
        <v>0.2964943205509798</v>
      </c>
    </row>
    <row r="3" spans="1:16" ht="15.75" thickBot="1">
      <c r="A3" s="20" t="s">
        <v>23</v>
      </c>
      <c r="B3" s="21" t="s">
        <v>27</v>
      </c>
      <c r="C3" s="22">
        <f>C6</f>
        <v>62.56</v>
      </c>
      <c r="D3" s="11">
        <v>50</v>
      </c>
      <c r="E3" s="11">
        <v>45</v>
      </c>
      <c r="F3" s="11">
        <v>40</v>
      </c>
      <c r="G3" s="11">
        <v>290</v>
      </c>
      <c r="H3" s="9">
        <v>25</v>
      </c>
      <c r="I3" s="9" t="s">
        <v>25</v>
      </c>
      <c r="J3" s="9">
        <v>250</v>
      </c>
      <c r="K3" s="9"/>
      <c r="L3" s="9"/>
      <c r="M3" s="9"/>
      <c r="N3" s="10" t="b">
        <v>0</v>
      </c>
      <c r="O3" s="10"/>
      <c r="P3" s="12" cm="1">
        <f t="array" ref="P3">get_crack_width(D3,E3,F3,G3, N3, O3,H3,J3,K3,M3)</f>
        <v>0.29436334648373624</v>
      </c>
    </row>
    <row r="4" spans="1:16" ht="15.75" thickBot="1">
      <c r="A4" s="20" t="s">
        <v>46</v>
      </c>
      <c r="B4" s="21" t="s">
        <v>24</v>
      </c>
      <c r="C4" s="22">
        <f>10</f>
        <v>10</v>
      </c>
      <c r="D4" s="11">
        <v>75</v>
      </c>
      <c r="E4" s="11">
        <v>70</v>
      </c>
      <c r="F4" s="11">
        <v>65</v>
      </c>
      <c r="G4" s="11">
        <v>220</v>
      </c>
      <c r="H4" s="9">
        <v>25</v>
      </c>
      <c r="I4" s="9" t="s">
        <v>25</v>
      </c>
      <c r="J4" s="9">
        <v>250</v>
      </c>
      <c r="K4" s="9">
        <v>20</v>
      </c>
      <c r="L4" s="9" t="s">
        <v>25</v>
      </c>
      <c r="M4" s="9">
        <v>250</v>
      </c>
      <c r="N4" s="10" t="b">
        <v>0</v>
      </c>
      <c r="O4" s="10"/>
      <c r="P4" s="12" cm="1">
        <f t="array" ref="P4">get_crack_width(D4,E4,F4,G4, N4, O4,H4,J4,K4,M4)</f>
        <v>0.15555320706096981</v>
      </c>
    </row>
    <row r="5" spans="1:16" ht="15.75" thickBot="1">
      <c r="A5" s="20" t="s">
        <v>46</v>
      </c>
      <c r="B5" s="21" t="s">
        <v>27</v>
      </c>
      <c r="C5" s="22">
        <v>0</v>
      </c>
      <c r="D5" s="11">
        <v>50</v>
      </c>
      <c r="E5" s="11">
        <v>45</v>
      </c>
      <c r="F5" s="11">
        <v>40</v>
      </c>
      <c r="G5" s="11">
        <v>0</v>
      </c>
      <c r="H5" s="9">
        <v>25</v>
      </c>
      <c r="I5" s="9" t="s">
        <v>25</v>
      </c>
      <c r="J5" s="9">
        <v>250</v>
      </c>
      <c r="K5" s="9"/>
      <c r="L5" s="9"/>
      <c r="M5" s="9"/>
      <c r="N5" s="10" t="b">
        <v>0</v>
      </c>
      <c r="O5" s="10"/>
      <c r="P5" s="12" cm="1">
        <f t="array" ref="P5">get_crack_width(D5,E5,F5,G5, N5, O5,H5,J5,K5,M5)</f>
        <v>0</v>
      </c>
    </row>
    <row r="6" spans="1:16" ht="15.75" thickBot="1">
      <c r="A6" s="23" t="s">
        <v>32</v>
      </c>
      <c r="B6" s="21"/>
      <c r="C6" s="22">
        <v>62.56</v>
      </c>
      <c r="D6" s="22"/>
      <c r="E6" s="22"/>
      <c r="F6" s="22"/>
      <c r="G6" s="22"/>
      <c r="H6" s="9"/>
      <c r="I6" s="9"/>
      <c r="J6" s="9"/>
      <c r="K6" s="9"/>
      <c r="L6" s="9"/>
      <c r="M6" s="9"/>
      <c r="N6" s="10"/>
      <c r="O6" s="10"/>
      <c r="P6" s="12"/>
    </row>
    <row r="7" spans="1:16" ht="16.5" customHeight="1" thickBot="1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65"/>
    </row>
    <row r="8" spans="1:16" ht="36.75" customHeight="1" thickBot="1">
      <c r="A8" s="32" t="s">
        <v>47</v>
      </c>
      <c r="B8" s="19" t="s">
        <v>37</v>
      </c>
      <c r="C8" s="26" t="s">
        <v>41</v>
      </c>
      <c r="D8" s="26"/>
      <c r="E8" s="26"/>
      <c r="F8" s="26"/>
      <c r="G8" s="26" t="s">
        <v>42</v>
      </c>
      <c r="H8" s="69" t="s">
        <v>19</v>
      </c>
      <c r="I8" s="70"/>
      <c r="J8" s="71"/>
      <c r="K8" s="69" t="s">
        <v>20</v>
      </c>
      <c r="L8" s="70"/>
      <c r="M8" s="71"/>
      <c r="N8" s="10"/>
      <c r="O8" s="11"/>
      <c r="P8" s="12"/>
    </row>
    <row r="9" spans="1:16" ht="15.75" thickBot="1">
      <c r="A9" s="20" t="s">
        <v>43</v>
      </c>
      <c r="B9" s="21" t="s">
        <v>24</v>
      </c>
      <c r="C9" s="22">
        <f>C15-C12</f>
        <v>53.56</v>
      </c>
      <c r="D9" s="11">
        <v>70</v>
      </c>
      <c r="E9" s="11">
        <v>75</v>
      </c>
      <c r="F9" s="11">
        <v>55</v>
      </c>
      <c r="G9" s="11">
        <v>215</v>
      </c>
      <c r="H9" s="9">
        <v>25</v>
      </c>
      <c r="I9" s="9" t="s">
        <v>25</v>
      </c>
      <c r="J9" s="9">
        <v>250</v>
      </c>
      <c r="K9" s="9"/>
      <c r="L9" s="9"/>
      <c r="M9" s="9"/>
      <c r="N9" s="10" t="b">
        <v>0</v>
      </c>
      <c r="O9" s="11"/>
      <c r="P9" s="12" cm="1">
        <f t="array" ref="P9">get_crack_width(D9,E9,F9,G9, N9, O9,H9,J9,K9,M9)</f>
        <v>0.29573969330236749</v>
      </c>
    </row>
    <row r="10" spans="1:16" ht="15.75" thickBot="1">
      <c r="A10" s="20" t="s">
        <v>43</v>
      </c>
      <c r="B10" s="21" t="s">
        <v>27</v>
      </c>
      <c r="C10" s="22">
        <f>C15</f>
        <v>62.56</v>
      </c>
      <c r="D10" s="11">
        <v>45</v>
      </c>
      <c r="E10" s="11">
        <v>50</v>
      </c>
      <c r="F10" s="11">
        <v>30</v>
      </c>
      <c r="G10" s="11">
        <v>160</v>
      </c>
      <c r="H10" s="9">
        <v>25</v>
      </c>
      <c r="I10" s="9" t="s">
        <v>25</v>
      </c>
      <c r="J10" s="9">
        <v>250</v>
      </c>
      <c r="K10" s="9"/>
      <c r="L10" s="9"/>
      <c r="M10" s="9"/>
      <c r="N10" s="10" t="b">
        <v>0</v>
      </c>
      <c r="O10" s="11"/>
      <c r="P10" s="12" cm="1">
        <f t="array" ref="P10">get_crack_width(D10,E10,F10,G10, N10, O10,H10,J10,K10,M10)</f>
        <v>0.29146247375084156</v>
      </c>
    </row>
    <row r="11" spans="1:16" ht="15.75" thickBot="1">
      <c r="A11" s="20" t="s">
        <v>79</v>
      </c>
      <c r="B11" s="21" t="s">
        <v>24</v>
      </c>
      <c r="C11" s="22">
        <f>9</f>
        <v>9</v>
      </c>
      <c r="D11" s="11">
        <v>70</v>
      </c>
      <c r="E11" s="11">
        <v>75</v>
      </c>
      <c r="F11" s="11">
        <v>55</v>
      </c>
      <c r="G11" s="11">
        <v>340</v>
      </c>
      <c r="H11" s="9">
        <v>25</v>
      </c>
      <c r="I11" s="9" t="s">
        <v>25</v>
      </c>
      <c r="J11" s="9">
        <v>250</v>
      </c>
      <c r="K11" s="9">
        <v>20</v>
      </c>
      <c r="L11" s="9" t="s">
        <v>25</v>
      </c>
      <c r="M11" s="9">
        <v>250</v>
      </c>
      <c r="N11" s="10" t="b">
        <v>0</v>
      </c>
      <c r="O11" s="11"/>
      <c r="P11" s="12" cm="1">
        <f t="array" ref="P11">get_crack_width(D11,E11,F11,G11, N11, O11,H11,J11,K11,M11)</f>
        <v>0.21872185617192227</v>
      </c>
    </row>
    <row r="12" spans="1:16" ht="15.75" thickBot="1">
      <c r="A12" s="20" t="s">
        <v>79</v>
      </c>
      <c r="B12" s="21" t="s">
        <v>27</v>
      </c>
      <c r="C12" s="22">
        <f>9</f>
        <v>9</v>
      </c>
      <c r="D12" s="11">
        <v>45</v>
      </c>
      <c r="E12" s="11">
        <v>50</v>
      </c>
      <c r="F12" s="11">
        <v>30</v>
      </c>
      <c r="G12" s="11">
        <v>390</v>
      </c>
      <c r="H12" s="9">
        <v>25</v>
      </c>
      <c r="I12" s="9" t="s">
        <v>25</v>
      </c>
      <c r="J12" s="9">
        <v>125</v>
      </c>
      <c r="K12" s="9"/>
      <c r="L12" s="9"/>
      <c r="M12" s="9"/>
      <c r="N12" s="10" t="b">
        <v>0</v>
      </c>
      <c r="O12" s="11"/>
      <c r="P12" s="12" cm="1">
        <f t="array" ref="P12">get_crack_width(D12,E12,F12,G12, N12, O12,H12,J12,K12,M12)</f>
        <v>0.12829234408554077</v>
      </c>
    </row>
    <row r="13" spans="1:16" ht="15.75" thickBot="1">
      <c r="A13" s="20" t="s">
        <v>80</v>
      </c>
      <c r="B13" s="21" t="s">
        <v>24</v>
      </c>
      <c r="C13" s="22">
        <f>1.5*8.75</f>
        <v>13.125</v>
      </c>
      <c r="D13" s="11">
        <v>70</v>
      </c>
      <c r="E13" s="11">
        <v>75</v>
      </c>
      <c r="F13" s="11">
        <v>55</v>
      </c>
      <c r="G13" s="11">
        <v>650</v>
      </c>
      <c r="H13" s="9">
        <v>25</v>
      </c>
      <c r="I13" s="9" t="s">
        <v>25</v>
      </c>
      <c r="J13" s="9">
        <v>125</v>
      </c>
      <c r="K13" s="9">
        <v>25</v>
      </c>
      <c r="L13" s="9" t="s">
        <v>25</v>
      </c>
      <c r="M13" s="9">
        <v>250</v>
      </c>
      <c r="N13" s="10" t="s">
        <v>74</v>
      </c>
      <c r="O13" s="11">
        <v>10</v>
      </c>
      <c r="P13" s="12" cm="1">
        <f t="array" ref="P13">get_crack_width(D13,E13,F13,G13, N13, O13,H13,J13,K13,M13)</f>
        <v>0.26211675685358898</v>
      </c>
    </row>
    <row r="14" spans="1:16" ht="15.75" thickBot="1">
      <c r="A14" s="20" t="s">
        <v>80</v>
      </c>
      <c r="B14" s="21" t="s">
        <v>27</v>
      </c>
      <c r="C14" s="22">
        <v>0</v>
      </c>
      <c r="D14" s="11">
        <v>45</v>
      </c>
      <c r="E14" s="11">
        <v>50</v>
      </c>
      <c r="F14" s="11">
        <v>30</v>
      </c>
      <c r="G14" s="11">
        <v>0</v>
      </c>
      <c r="H14" s="9">
        <v>25</v>
      </c>
      <c r="I14" s="9" t="s">
        <v>25</v>
      </c>
      <c r="J14" s="9">
        <v>250</v>
      </c>
      <c r="K14" s="9"/>
      <c r="L14" s="9"/>
      <c r="M14" s="9"/>
      <c r="N14" s="10" t="s">
        <v>74</v>
      </c>
      <c r="O14" s="11">
        <v>10</v>
      </c>
      <c r="P14" s="12" cm="1">
        <f t="array" ref="P14">get_crack_width(D14,E14,F14,G14, N14, O14,H14,J14,K14,M14)</f>
        <v>0</v>
      </c>
    </row>
    <row r="15" spans="1:16" ht="15.75" thickBot="1">
      <c r="A15" s="23" t="s">
        <v>32</v>
      </c>
      <c r="B15" s="21"/>
      <c r="C15" s="22">
        <v>62.56</v>
      </c>
      <c r="D15" s="22"/>
      <c r="E15" s="22"/>
      <c r="F15" s="22"/>
      <c r="G15" s="21"/>
      <c r="H15" s="9"/>
      <c r="I15" s="9"/>
      <c r="J15" s="9"/>
      <c r="K15" s="9"/>
      <c r="L15" s="9"/>
      <c r="M15" s="9"/>
      <c r="N15" s="10"/>
      <c r="O15" s="11"/>
      <c r="P15" s="9"/>
    </row>
    <row r="16" spans="1:16">
      <c r="P16" s="17"/>
    </row>
    <row r="17" spans="16:16">
      <c r="P17" s="17"/>
    </row>
  </sheetData>
  <mergeCells count="4">
    <mergeCell ref="H1:J1"/>
    <mergeCell ref="K1:M1"/>
    <mergeCell ref="H8:J8"/>
    <mergeCell ref="K8:M8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workbookViewId="0">
      <selection activeCell="F9" sqref="F9"/>
    </sheetView>
  </sheetViews>
  <sheetFormatPr defaultColWidth="11" defaultRowHeight="15.75"/>
  <cols>
    <col min="1" max="1" width="3.125" bestFit="1" customWidth="1"/>
    <col min="2" max="2" width="68.75" bestFit="1" customWidth="1"/>
  </cols>
  <sheetData>
    <row r="1" spans="1:2">
      <c r="A1" t="s">
        <v>57</v>
      </c>
      <c r="B1" t="s">
        <v>58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/>
  <cols>
    <col min="1" max="1" width="14.75" style="1" customWidth="1"/>
    <col min="2" max="2" width="9.25" style="1" customWidth="1"/>
    <col min="3" max="16384" width="8.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B7652-940C-43EB-8CC3-355EE2AADC73}">
  <sheetPr codeName="Sheet11"/>
  <dimension ref="A1:P21"/>
  <sheetViews>
    <sheetView zoomScale="175" zoomScaleNormal="175" workbookViewId="0">
      <selection activeCell="F4" sqref="F4"/>
    </sheetView>
  </sheetViews>
  <sheetFormatPr defaultRowHeight="15.75"/>
  <cols>
    <col min="12" max="12" width="0" hidden="1" customWidth="1"/>
  </cols>
  <sheetData>
    <row r="1" spans="1:16" ht="45.75" thickBot="1">
      <c r="H1" s="73" t="s">
        <v>59</v>
      </c>
      <c r="I1" s="74"/>
      <c r="J1" s="45" t="s">
        <v>21</v>
      </c>
      <c r="K1" s="45" t="s">
        <v>60</v>
      </c>
      <c r="L1" s="45" t="s">
        <v>22</v>
      </c>
    </row>
    <row r="2" spans="1:16" ht="16.5" customHeight="1" thickBot="1">
      <c r="B2" t="s">
        <v>65</v>
      </c>
      <c r="H2" s="75" t="s">
        <v>61</v>
      </c>
      <c r="I2" s="78" t="s">
        <v>34</v>
      </c>
      <c r="J2" s="46" t="s">
        <v>24</v>
      </c>
      <c r="K2" s="47">
        <v>185</v>
      </c>
      <c r="L2" s="46">
        <v>269</v>
      </c>
    </row>
    <row r="3" spans="1:16" ht="16.5" thickBot="1">
      <c r="A3">
        <v>10</v>
      </c>
      <c r="B3">
        <v>784</v>
      </c>
      <c r="H3" s="76"/>
      <c r="I3" s="79"/>
      <c r="J3" s="46" t="s">
        <v>27</v>
      </c>
      <c r="K3" s="47">
        <v>290</v>
      </c>
      <c r="L3" s="46">
        <v>274</v>
      </c>
    </row>
    <row r="4" spans="1:16" ht="16.5" thickBot="1">
      <c r="A4">
        <v>12</v>
      </c>
      <c r="B4">
        <v>1125</v>
      </c>
      <c r="H4" s="76"/>
      <c r="I4" s="78" t="s">
        <v>26</v>
      </c>
      <c r="J4" s="46" t="s">
        <v>24</v>
      </c>
      <c r="K4" s="47">
        <v>215</v>
      </c>
      <c r="L4" s="46">
        <v>271</v>
      </c>
      <c r="N4" s="50"/>
      <c r="O4" s="50"/>
      <c r="P4" s="50"/>
    </row>
    <row r="5" spans="1:16" ht="16.5" customHeight="1" thickBot="1">
      <c r="A5">
        <v>16</v>
      </c>
      <c r="B5">
        <v>1986</v>
      </c>
      <c r="H5" s="77"/>
      <c r="I5" s="79"/>
      <c r="J5" s="46" t="s">
        <v>27</v>
      </c>
      <c r="K5" s="47">
        <v>165</v>
      </c>
      <c r="L5" s="46">
        <v>276</v>
      </c>
      <c r="N5" s="50"/>
      <c r="O5" s="50"/>
      <c r="P5" s="50"/>
    </row>
    <row r="6" spans="1:16" ht="16.5" customHeight="1" thickBot="1">
      <c r="H6" s="75" t="s">
        <v>66</v>
      </c>
      <c r="I6" s="78" t="s">
        <v>34</v>
      </c>
      <c r="J6" s="46" t="s">
        <v>39</v>
      </c>
      <c r="K6" s="46">
        <v>185</v>
      </c>
      <c r="L6" s="46">
        <v>269</v>
      </c>
      <c r="N6" s="50"/>
      <c r="O6" s="50"/>
      <c r="P6" s="50"/>
    </row>
    <row r="7" spans="1:16" ht="16.5" thickBot="1">
      <c r="H7" s="76"/>
      <c r="I7" s="79"/>
      <c r="J7" s="46" t="s">
        <v>24</v>
      </c>
      <c r="K7" s="46">
        <v>290</v>
      </c>
      <c r="L7" s="46">
        <v>274</v>
      </c>
      <c r="N7" s="50"/>
      <c r="O7" s="50"/>
      <c r="P7" s="50"/>
    </row>
    <row r="8" spans="1:16" ht="16.5" thickBot="1">
      <c r="H8" s="76"/>
      <c r="I8" s="78" t="s">
        <v>26</v>
      </c>
      <c r="J8" s="46" t="s">
        <v>39</v>
      </c>
      <c r="K8" s="46">
        <v>215</v>
      </c>
      <c r="L8" s="46">
        <v>271</v>
      </c>
      <c r="N8" s="50"/>
      <c r="O8" s="50"/>
      <c r="P8" s="50"/>
    </row>
    <row r="9" spans="1:16" ht="16.5" customHeight="1" thickBot="1">
      <c r="H9" s="77"/>
      <c r="I9" s="79"/>
      <c r="J9" s="46" t="s">
        <v>24</v>
      </c>
      <c r="K9" s="46">
        <v>165</v>
      </c>
      <c r="L9" s="46">
        <v>276</v>
      </c>
      <c r="N9" s="50"/>
      <c r="O9" s="50"/>
      <c r="P9" s="50"/>
    </row>
    <row r="10" spans="1:16" ht="16.5" customHeight="1" thickBot="1">
      <c r="H10" s="75" t="s">
        <v>67</v>
      </c>
      <c r="I10" s="78" t="s">
        <v>34</v>
      </c>
      <c r="J10" s="46" t="s">
        <v>39</v>
      </c>
      <c r="K10" s="46">
        <v>185</v>
      </c>
      <c r="L10" s="46">
        <v>269</v>
      </c>
      <c r="N10" s="50"/>
      <c r="O10" s="50"/>
      <c r="P10" s="50"/>
    </row>
    <row r="11" spans="1:16" ht="16.5" thickBot="1">
      <c r="H11" s="76"/>
      <c r="I11" s="79"/>
      <c r="J11" s="46" t="s">
        <v>27</v>
      </c>
      <c r="K11" s="46">
        <v>290</v>
      </c>
      <c r="L11" s="46">
        <v>274</v>
      </c>
      <c r="N11" s="50"/>
      <c r="O11" s="50"/>
      <c r="P11" s="50"/>
    </row>
    <row r="12" spans="1:16" ht="16.5" thickBot="1">
      <c r="H12" s="76"/>
      <c r="I12" s="78" t="s">
        <v>26</v>
      </c>
      <c r="J12" s="46" t="s">
        <v>39</v>
      </c>
      <c r="K12" s="46">
        <v>215</v>
      </c>
      <c r="L12" s="46">
        <v>271</v>
      </c>
      <c r="N12" s="50"/>
      <c r="O12" s="50"/>
      <c r="P12" s="50"/>
    </row>
    <row r="13" spans="1:16" ht="16.5" customHeight="1" thickBot="1">
      <c r="H13" s="77"/>
      <c r="I13" s="79"/>
      <c r="J13" s="46" t="s">
        <v>27</v>
      </c>
      <c r="K13" s="46">
        <v>165</v>
      </c>
      <c r="L13" s="46">
        <v>276</v>
      </c>
      <c r="N13" s="50"/>
      <c r="O13" s="50"/>
      <c r="P13" s="50"/>
    </row>
    <row r="14" spans="1:16" ht="16.5" customHeight="1" thickBot="1">
      <c r="H14" s="75" t="s">
        <v>62</v>
      </c>
      <c r="I14" s="78" t="s">
        <v>34</v>
      </c>
      <c r="J14" s="46" t="s">
        <v>24</v>
      </c>
      <c r="K14" s="46">
        <v>185</v>
      </c>
      <c r="L14" s="46">
        <v>269</v>
      </c>
      <c r="N14" s="50"/>
      <c r="O14" s="50"/>
      <c r="P14" s="50"/>
    </row>
    <row r="15" spans="1:16" ht="16.5" thickBot="1">
      <c r="H15" s="76"/>
      <c r="I15" s="79"/>
      <c r="J15" s="46" t="s">
        <v>27</v>
      </c>
      <c r="K15" s="46">
        <v>290</v>
      </c>
      <c r="L15" s="46">
        <v>274</v>
      </c>
      <c r="N15" s="50"/>
      <c r="O15" s="50"/>
      <c r="P15" s="50"/>
    </row>
    <row r="16" spans="1:16" ht="16.5" thickBot="1">
      <c r="H16" s="76"/>
      <c r="I16" s="78" t="s">
        <v>26</v>
      </c>
      <c r="J16" s="46" t="s">
        <v>24</v>
      </c>
      <c r="K16" s="47">
        <v>215</v>
      </c>
      <c r="L16" s="46">
        <v>270</v>
      </c>
      <c r="N16" s="50"/>
      <c r="O16" s="50"/>
      <c r="P16" s="50"/>
    </row>
    <row r="17" spans="8:16" ht="16.5" customHeight="1" thickBot="1">
      <c r="H17" s="77"/>
      <c r="I17" s="79"/>
      <c r="J17" s="46" t="s">
        <v>27</v>
      </c>
      <c r="K17" s="47">
        <v>160</v>
      </c>
      <c r="L17" s="46">
        <v>275</v>
      </c>
      <c r="N17" s="50"/>
      <c r="O17" s="50"/>
      <c r="P17" s="50"/>
    </row>
    <row r="18" spans="8:16">
      <c r="N18" s="50"/>
      <c r="O18" s="50"/>
      <c r="P18" s="50"/>
    </row>
    <row r="19" spans="8:16">
      <c r="N19" s="50"/>
      <c r="O19" s="50"/>
      <c r="P19" s="50"/>
    </row>
    <row r="20" spans="8:16">
      <c r="N20" s="50"/>
      <c r="O20" s="50"/>
      <c r="P20" s="50"/>
    </row>
    <row r="21" spans="8:16">
      <c r="N21" s="50"/>
      <c r="O21" s="50"/>
      <c r="P21" s="50"/>
    </row>
  </sheetData>
  <mergeCells count="13">
    <mergeCell ref="H1:I1"/>
    <mergeCell ref="H2:H5"/>
    <mergeCell ref="I2:I3"/>
    <mergeCell ref="I4:I5"/>
    <mergeCell ref="H14:H17"/>
    <mergeCell ref="I14:I15"/>
    <mergeCell ref="I16:I17"/>
    <mergeCell ref="H6:H9"/>
    <mergeCell ref="I6:I7"/>
    <mergeCell ref="I8:I9"/>
    <mergeCell ref="H10:H13"/>
    <mergeCell ref="I10:I11"/>
    <mergeCell ref="I12:I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</vt:lpstr>
      <vt:lpstr>2</vt:lpstr>
      <vt:lpstr>3</vt:lpstr>
      <vt:lpstr>4</vt:lpstr>
      <vt:lpstr>5</vt:lpstr>
      <vt:lpstr>6</vt:lpstr>
      <vt:lpstr>7</vt:lpstr>
      <vt:lpstr>8</vt:lpstr>
      <vt:lpstr>comments</vt:lpstr>
      <vt:lpstr>_xlwings.conf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Beliakou, Viktar</cp:lastModifiedBy>
  <dcterms:created xsi:type="dcterms:W3CDTF">2015-01-25T11:31:25Z</dcterms:created>
  <dcterms:modified xsi:type="dcterms:W3CDTF">2021-03-25T12:25:46Z</dcterms:modified>
</cp:coreProperties>
</file>