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EL91323\Desktop\todo\rc-design-tools\crack-width-calc\CrackWidthCalculator\"/>
    </mc:Choice>
  </mc:AlternateContent>
  <xr:revisionPtr revIDLastSave="0" documentId="13_ncr:1_{8E69AAA9-3E89-4175-A659-5F40A0E924BE}" xr6:coauthVersionLast="45" xr6:coauthVersionMax="45" xr10:uidLastSave="{00000000-0000-0000-0000-000000000000}"/>
  <bookViews>
    <workbookView xWindow="-28920" yWindow="-120" windowWidth="29040" windowHeight="15840" tabRatio="500" activeTab="8" xr2:uid="{00000000-000D-0000-FFFF-FFFF00000000}"/>
  </bookViews>
  <sheets>
    <sheet name="1" sheetId="3" r:id="rId1"/>
    <sheet name="2" sheetId="4" r:id="rId2"/>
    <sheet name="3" sheetId="5" r:id="rId3"/>
    <sheet name="4" sheetId="6" r:id="rId4"/>
    <sheet name="5" sheetId="7" r:id="rId5"/>
    <sheet name="6" sheetId="8" r:id="rId6"/>
    <sheet name="7" sheetId="9" r:id="rId7"/>
    <sheet name="8" sheetId="10" r:id="rId8"/>
    <sheet name="comments" sheetId="1" r:id="rId9"/>
    <sheet name="_xlwings.conf" sheetId="2" r:id="rId10"/>
  </sheets>
  <functionGroups builtInGroupCount="19">
    <functionGroup name="xlwings"/>
  </functionGroups>
  <externalReferences>
    <externalReference r:id="rId11"/>
  </externalReferences>
  <calcPr calcId="191029"/>
  <extLst>
    <ext xmlns:x14="http://schemas.microsoft.com/office/spreadsheetml/2009/9/main" uri="{8193D73E-4604-4355-AFF4-8A2333D13BE4}">
      <x14:definedNames>
        <x14:definedName name="get_crack_width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2" i="3" l="1" a="1"/>
  <c r="S2" i="3" l="1"/>
  <c r="B18" i="3" l="1"/>
  <c r="K18" i="3"/>
  <c r="B19" i="3"/>
  <c r="K19" i="3"/>
  <c r="B20" i="3"/>
  <c r="K20" i="3"/>
  <c r="S6" i="3" a="1"/>
  <c r="S9" i="3" a="1"/>
  <c r="S5" i="3" a="1"/>
  <c r="S7" i="3" a="1"/>
  <c r="S8" i="3" a="1"/>
  <c r="S4" i="3" a="1"/>
  <c r="S3" i="3" a="1"/>
  <c r="S4" i="3" l="1"/>
  <c r="S8" i="3"/>
  <c r="S7" i="3"/>
  <c r="S5" i="3"/>
  <c r="S9" i="3"/>
  <c r="S6" i="3"/>
  <c r="S3" i="3"/>
  <c r="L13" i="10"/>
  <c r="C13" i="10"/>
  <c r="N13" i="10" s="1"/>
  <c r="N14" i="10" s="1"/>
  <c r="C10" i="10"/>
  <c r="C8" i="10" s="1"/>
  <c r="O9" i="10"/>
  <c r="K9" i="10"/>
  <c r="N9" i="10" s="1"/>
  <c r="C9" i="10"/>
  <c r="O8" i="10"/>
  <c r="K8" i="10"/>
  <c r="N8" i="10" s="1"/>
  <c r="O7" i="10"/>
  <c r="K7" i="10"/>
  <c r="N7" i="10" s="1"/>
  <c r="C7" i="10"/>
  <c r="C4" i="10"/>
  <c r="C3" i="10" s="1"/>
  <c r="O3" i="10"/>
  <c r="K3" i="10"/>
  <c r="O2" i="10"/>
  <c r="K2" i="10"/>
  <c r="N2" i="10" s="1"/>
  <c r="C2" i="10"/>
  <c r="L20" i="9"/>
  <c r="C20" i="9"/>
  <c r="N20" i="9" s="1"/>
  <c r="N19" i="9"/>
  <c r="L19" i="9"/>
  <c r="C19" i="9"/>
  <c r="L18" i="9"/>
  <c r="N18" i="9" s="1"/>
  <c r="N21" i="9" s="1"/>
  <c r="C18" i="9"/>
  <c r="C15" i="9"/>
  <c r="O14" i="9"/>
  <c r="K14" i="9"/>
  <c r="N14" i="9" s="1"/>
  <c r="C14" i="9"/>
  <c r="C12" i="9" s="1"/>
  <c r="O13" i="9"/>
  <c r="K13" i="9"/>
  <c r="N13" i="9" s="1"/>
  <c r="C13" i="9"/>
  <c r="C11" i="9" s="1"/>
  <c r="O12" i="9"/>
  <c r="K12" i="9"/>
  <c r="N12" i="9" s="1"/>
  <c r="O11" i="9"/>
  <c r="K11" i="9"/>
  <c r="N11" i="9" s="1"/>
  <c r="C8" i="9"/>
  <c r="C3" i="9" s="1"/>
  <c r="O7" i="9"/>
  <c r="K7" i="9"/>
  <c r="N7" i="9" s="1"/>
  <c r="C7" i="9"/>
  <c r="O6" i="9"/>
  <c r="K6" i="9"/>
  <c r="N6" i="9" s="1"/>
  <c r="C6" i="9"/>
  <c r="O5" i="9"/>
  <c r="K5" i="9"/>
  <c r="N5" i="9" s="1"/>
  <c r="C5" i="9"/>
  <c r="O4" i="9"/>
  <c r="K4" i="9"/>
  <c r="N4" i="9" s="1"/>
  <c r="C4" i="9"/>
  <c r="O3" i="9"/>
  <c r="K3" i="9"/>
  <c r="O2" i="9"/>
  <c r="K2" i="9"/>
  <c r="N2" i="9" s="1"/>
  <c r="C2" i="9"/>
  <c r="L13" i="8"/>
  <c r="C13" i="8"/>
  <c r="N13" i="8" s="1"/>
  <c r="N14" i="8" s="1"/>
  <c r="N12" i="8"/>
  <c r="L12" i="8"/>
  <c r="C12" i="8"/>
  <c r="N8" i="8"/>
  <c r="C8" i="8"/>
  <c r="O7" i="8"/>
  <c r="K7" i="8"/>
  <c r="N7" i="8" s="1"/>
  <c r="N9" i="8" s="1"/>
  <c r="C7" i="8"/>
  <c r="O3" i="8"/>
  <c r="N3" i="8"/>
  <c r="C3" i="8"/>
  <c r="O2" i="8"/>
  <c r="K2" i="8"/>
  <c r="N2" i="8" s="1"/>
  <c r="N4" i="8" s="1"/>
  <c r="C2" i="8"/>
  <c r="L15" i="7"/>
  <c r="C15" i="7"/>
  <c r="N15" i="7" s="1"/>
  <c r="N16" i="7" s="1"/>
  <c r="K11" i="7"/>
  <c r="N11" i="7" s="1"/>
  <c r="C11" i="7"/>
  <c r="K10" i="7"/>
  <c r="N10" i="7" s="1"/>
  <c r="C10" i="7"/>
  <c r="C8" i="7" s="1"/>
  <c r="O9" i="7"/>
  <c r="K9" i="7"/>
  <c r="N9" i="7" s="1"/>
  <c r="C9" i="7"/>
  <c r="O8" i="7"/>
  <c r="K8" i="7"/>
  <c r="O4" i="7"/>
  <c r="K4" i="7"/>
  <c r="N4" i="7" s="1"/>
  <c r="C4" i="7"/>
  <c r="C2" i="7" s="1"/>
  <c r="O3" i="7"/>
  <c r="K3" i="7"/>
  <c r="N3" i="7" s="1"/>
  <c r="C3" i="7"/>
  <c r="O2" i="7"/>
  <c r="K2" i="7"/>
  <c r="O9" i="6"/>
  <c r="K9" i="6"/>
  <c r="C9" i="6"/>
  <c r="O8" i="6"/>
  <c r="K8" i="6"/>
  <c r="N8" i="6" s="1"/>
  <c r="C8" i="6"/>
  <c r="O7" i="6"/>
  <c r="K7" i="6"/>
  <c r="K3" i="6"/>
  <c r="C3" i="6"/>
  <c r="O2" i="6"/>
  <c r="K2" i="6"/>
  <c r="N2" i="6" s="1"/>
  <c r="C2" i="6"/>
  <c r="L17" i="5"/>
  <c r="C17" i="5"/>
  <c r="N17" i="5" s="1"/>
  <c r="L16" i="5"/>
  <c r="C16" i="5"/>
  <c r="N16" i="5" s="1"/>
  <c r="O12" i="5"/>
  <c r="K12" i="5"/>
  <c r="C12" i="5"/>
  <c r="O11" i="5"/>
  <c r="K11" i="5"/>
  <c r="C11" i="5"/>
  <c r="O10" i="5"/>
  <c r="K10" i="5"/>
  <c r="C10" i="5"/>
  <c r="O9" i="5"/>
  <c r="K9" i="5"/>
  <c r="O5" i="5"/>
  <c r="K5" i="5"/>
  <c r="C5" i="5"/>
  <c r="C3" i="5" s="1"/>
  <c r="O4" i="5"/>
  <c r="K4" i="5"/>
  <c r="C4" i="5"/>
  <c r="O3" i="5"/>
  <c r="K3" i="5"/>
  <c r="O2" i="5"/>
  <c r="K2" i="5"/>
  <c r="C2" i="5"/>
  <c r="L16" i="4"/>
  <c r="C16" i="4"/>
  <c r="N16" i="4" s="1"/>
  <c r="N17" i="4" s="1"/>
  <c r="O12" i="4"/>
  <c r="K12" i="4"/>
  <c r="N12" i="4" s="1"/>
  <c r="C12" i="4"/>
  <c r="C8" i="4" s="1"/>
  <c r="N11" i="4"/>
  <c r="N10" i="4"/>
  <c r="O9" i="4"/>
  <c r="K9" i="4"/>
  <c r="N9" i="4" s="1"/>
  <c r="C9" i="4"/>
  <c r="O8" i="4"/>
  <c r="K8" i="4"/>
  <c r="O7" i="4"/>
  <c r="K7" i="4"/>
  <c r="C7" i="4"/>
  <c r="O3" i="4"/>
  <c r="N3" i="4"/>
  <c r="C3" i="4"/>
  <c r="O2" i="4"/>
  <c r="K2" i="4"/>
  <c r="C2" i="4"/>
  <c r="C16" i="3"/>
  <c r="U15" i="3"/>
  <c r="N15" i="3"/>
  <c r="C15" i="3"/>
  <c r="U14" i="3"/>
  <c r="N14" i="3"/>
  <c r="C14" i="3"/>
  <c r="U13" i="3"/>
  <c r="N13" i="3"/>
  <c r="U12" i="3"/>
  <c r="N12" i="3"/>
  <c r="C10" i="3"/>
  <c r="U9" i="3"/>
  <c r="N9" i="3"/>
  <c r="P9" i="3" s="1"/>
  <c r="C9" i="3"/>
  <c r="U8" i="3"/>
  <c r="N8" i="3"/>
  <c r="C8" i="3"/>
  <c r="U7" i="3"/>
  <c r="N7" i="3"/>
  <c r="P7" i="3" s="1"/>
  <c r="U6" i="3"/>
  <c r="N6" i="3"/>
  <c r="C6" i="3"/>
  <c r="U5" i="3"/>
  <c r="N5" i="3"/>
  <c r="C5" i="3"/>
  <c r="U4" i="3"/>
  <c r="N4" i="3"/>
  <c r="C4" i="3"/>
  <c r="U3" i="3"/>
  <c r="N3" i="3"/>
  <c r="U2" i="3"/>
  <c r="N2" i="3"/>
  <c r="N10" i="5" l="1"/>
  <c r="N10" i="10"/>
  <c r="N11" i="5"/>
  <c r="N3" i="5"/>
  <c r="N18" i="3"/>
  <c r="P14" i="3"/>
  <c r="P8" i="3"/>
  <c r="N20" i="3"/>
  <c r="N8" i="4"/>
  <c r="N2" i="4"/>
  <c r="N4" i="4" s="1"/>
  <c r="N7" i="4"/>
  <c r="N13" i="4" s="1"/>
  <c r="N19" i="3"/>
  <c r="P15" i="3"/>
  <c r="P5" i="3"/>
  <c r="C12" i="3"/>
  <c r="P12" i="3" s="1"/>
  <c r="C2" i="3"/>
  <c r="P2" i="3" s="1"/>
  <c r="C13" i="3"/>
  <c r="P13" i="3" s="1"/>
  <c r="C3" i="3"/>
  <c r="P3" i="3" s="1"/>
  <c r="N15" i="9"/>
  <c r="N8" i="7"/>
  <c r="N12" i="7" s="1"/>
  <c r="N9" i="6"/>
  <c r="N3" i="6"/>
  <c r="N4" i="6" s="1"/>
  <c r="N2" i="5"/>
  <c r="N4" i="5"/>
  <c r="N12" i="5"/>
  <c r="N13" i="5" s="1"/>
  <c r="P6" i="3"/>
  <c r="N2" i="7"/>
  <c r="N5" i="7" s="1"/>
  <c r="K19" i="8"/>
  <c r="K20" i="8" s="1"/>
  <c r="K21" i="8" s="1"/>
  <c r="K22" i="8" s="1"/>
  <c r="K16" i="8"/>
  <c r="K17" i="8" s="1"/>
  <c r="N3" i="9"/>
  <c r="N8" i="9" s="1"/>
  <c r="K26" i="9" s="1"/>
  <c r="K27" i="9" s="1"/>
  <c r="K28" i="9" s="1"/>
  <c r="K29" i="9" s="1"/>
  <c r="N3" i="10"/>
  <c r="N4" i="10" s="1"/>
  <c r="N18" i="5"/>
  <c r="C9" i="5"/>
  <c r="C7" i="6"/>
  <c r="N7" i="6" s="1"/>
  <c r="P4" i="3"/>
  <c r="N5" i="5"/>
  <c r="N6" i="5" l="1"/>
  <c r="K20" i="5" s="1"/>
  <c r="K21" i="5" s="1"/>
  <c r="K19" i="10"/>
  <c r="K20" i="10" s="1"/>
  <c r="K21" i="10" s="1"/>
  <c r="K22" i="10" s="1"/>
  <c r="P10" i="3"/>
  <c r="N21" i="3"/>
  <c r="P16" i="3"/>
  <c r="N10" i="6"/>
  <c r="K12" i="6"/>
  <c r="K13" i="6" s="1"/>
  <c r="K15" i="6"/>
  <c r="K16" i="6" s="1"/>
  <c r="K17" i="6" s="1"/>
  <c r="K18" i="6" s="1"/>
  <c r="K23" i="9"/>
  <c r="K24" i="9" s="1"/>
  <c r="K16" i="10"/>
  <c r="K17" i="10" s="1"/>
  <c r="K21" i="7"/>
  <c r="K22" i="7" s="1"/>
  <c r="K23" i="7" s="1"/>
  <c r="K24" i="7" s="1"/>
  <c r="K18" i="7"/>
  <c r="K19" i="7" s="1"/>
  <c r="K22" i="4"/>
  <c r="K23" i="4" s="1"/>
  <c r="K24" i="4" s="1"/>
  <c r="K25" i="4" s="1"/>
  <c r="K19" i="4"/>
  <c r="K20" i="4" s="1"/>
  <c r="K23" i="5" l="1"/>
  <c r="K24" i="5" s="1"/>
  <c r="K25" i="5" s="1"/>
  <c r="K26" i="5" s="1"/>
  <c r="G26" i="3"/>
  <c r="G27" i="3" s="1"/>
  <c r="G28" i="3" s="1"/>
  <c r="G29" i="3" s="1"/>
  <c r="G23" i="3"/>
  <c r="G2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<sst xmlns="http://schemas.openxmlformats.org/spreadsheetml/2006/main" count="695" uniqueCount="108">
  <si>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</si>
  <si>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</si>
  <si>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</si>
  <si>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</si>
  <si>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</si>
  <si>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</si>
  <si>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</si>
  <si>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</si>
  <si>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</si>
  <si>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</si>
  <si>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</si>
  <si>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</si>
  <si>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</si>
  <si>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</si>
  <si>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</si>
  <si>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Top/outer Location</t>
  </si>
  <si>
    <t>Local/Global Dir.</t>
  </si>
  <si>
    <r>
      <t>Zone Area (m</t>
    </r>
    <r>
      <rPr>
        <b/>
        <vertAlign val="superscript"/>
        <sz val="8"/>
        <color theme="1"/>
        <rFont val="Arial"/>
        <family val="2"/>
      </rPr>
      <t>2</t>
    </r>
    <r>
      <rPr>
        <b/>
        <sz val="8"/>
        <color theme="1"/>
        <rFont val="Arial"/>
        <family val="2"/>
      </rPr>
      <t>)</t>
    </r>
  </si>
  <si>
    <r>
      <t>M</t>
    </r>
    <r>
      <rPr>
        <b/>
        <vertAlign val="subscript"/>
        <sz val="8"/>
        <color theme="1"/>
        <rFont val="Arial"/>
        <family val="2"/>
      </rPr>
      <t xml:space="preserve">sls,max </t>
    </r>
    <r>
      <rPr>
        <b/>
        <sz val="8"/>
        <color theme="1"/>
        <rFont val="Arial"/>
        <family val="2"/>
      </rPr>
      <t>(kNm/m)</t>
    </r>
  </si>
  <si>
    <r>
      <t>1</t>
    </r>
    <r>
      <rPr>
        <b/>
        <vertAlign val="superscript"/>
        <sz val="8"/>
        <color theme="1"/>
        <rFont val="Arial"/>
        <family val="2"/>
      </rPr>
      <t>st</t>
    </r>
    <r>
      <rPr>
        <b/>
        <sz val="8"/>
        <color theme="1"/>
        <rFont val="Arial"/>
        <family val="2"/>
      </rPr>
      <t xml:space="preserve"> layer</t>
    </r>
  </si>
  <si>
    <r>
      <t>2</t>
    </r>
    <r>
      <rPr>
        <b/>
        <vertAlign val="superscript"/>
        <sz val="8"/>
        <color theme="1"/>
        <rFont val="Arial"/>
        <family val="2"/>
      </rPr>
      <t>nd</t>
    </r>
    <r>
      <rPr>
        <b/>
        <sz val="8"/>
        <color theme="1"/>
        <rFont val="Arial"/>
        <family val="2"/>
      </rPr>
      <t xml:space="preserve"> layer</t>
    </r>
  </si>
  <si>
    <r>
      <t>A</t>
    </r>
    <r>
      <rPr>
        <b/>
        <vertAlign val="subscript"/>
        <sz val="8"/>
        <color theme="1"/>
        <rFont val="Arial"/>
        <family val="2"/>
      </rPr>
      <t>s,total</t>
    </r>
    <r>
      <rPr>
        <b/>
        <sz val="8"/>
        <color theme="1"/>
        <rFont val="Arial"/>
        <family val="2"/>
      </rPr>
      <t xml:space="preserve"> (mm</t>
    </r>
    <r>
      <rPr>
        <b/>
        <vertAlign val="superscript"/>
        <sz val="8"/>
        <color theme="1"/>
        <rFont val="Arial"/>
        <family val="2"/>
      </rPr>
      <t>2</t>
    </r>
    <r>
      <rPr>
        <b/>
        <sz val="8"/>
        <color theme="1"/>
        <rFont val="Arial"/>
        <family val="2"/>
      </rPr>
      <t>/m)</t>
    </r>
  </si>
  <si>
    <t xml:space="preserve">Crack width (mm) </t>
  </si>
  <si>
    <r>
      <t>Total reinf. volume (m</t>
    </r>
    <r>
      <rPr>
        <b/>
        <vertAlign val="superscript"/>
        <sz val="8"/>
        <color theme="1"/>
        <rFont val="Arial"/>
        <family val="2"/>
      </rPr>
      <t>3</t>
    </r>
    <r>
      <rPr>
        <b/>
        <sz val="8"/>
        <color theme="1"/>
        <rFont val="Arial"/>
        <family val="2"/>
      </rPr>
      <t>)</t>
    </r>
  </si>
  <si>
    <t xml:space="preserve">MIN shear resistance (kN) </t>
  </si>
  <si>
    <t>Global Direction</t>
  </si>
  <si>
    <t>cnom,ten (mm)</t>
  </si>
  <si>
    <t>cnom,comp (mm)</t>
  </si>
  <si>
    <t>cdur* (mm)</t>
  </si>
  <si>
    <t>SLS moment resistance with B25@250 (kNm/m)</t>
  </si>
  <si>
    <t xml:space="preserve">Crack Width (mm) </t>
  </si>
  <si>
    <t xml:space="preserve">SLS shear resistance (kN) </t>
  </si>
  <si>
    <t>Standard</t>
  </si>
  <si>
    <t>XX</t>
  </si>
  <si>
    <t>@</t>
  </si>
  <si>
    <t>Outer</t>
  </si>
  <si>
    <t>YY</t>
  </si>
  <si>
    <t>Central col.</t>
  </si>
  <si>
    <t>RHS edge</t>
  </si>
  <si>
    <t xml:space="preserve">RHS edge </t>
  </si>
  <si>
    <t>LHS Edge</t>
  </si>
  <si>
    <t>Top+Bot edges</t>
  </si>
  <si>
    <t xml:space="preserve">Total </t>
  </si>
  <si>
    <t>Bot/inner Location</t>
  </si>
  <si>
    <t>Inner</t>
  </si>
  <si>
    <t xml:space="preserve">Top+Bot mid span </t>
  </si>
  <si>
    <t xml:space="preserve">Location </t>
  </si>
  <si>
    <t xml:space="preserve">Bar diameter (mm) </t>
  </si>
  <si>
    <t>Leg spacing (mm)</t>
  </si>
  <si>
    <t>Longitudinal spacing (mm)</t>
  </si>
  <si>
    <r>
      <t>Total reinforcement volume (m</t>
    </r>
    <r>
      <rPr>
        <b/>
        <vertAlign val="superscript"/>
        <sz val="8"/>
        <color theme="1"/>
        <rFont val="Arial"/>
        <family val="2"/>
      </rPr>
      <t>3</t>
    </r>
    <r>
      <rPr>
        <b/>
        <sz val="8"/>
        <color theme="1"/>
        <rFont val="Arial"/>
        <family val="2"/>
      </rPr>
      <t xml:space="preserve">) </t>
    </r>
  </si>
  <si>
    <t xml:space="preserve">Top/bot edges </t>
  </si>
  <si>
    <t xml:space="preserve">LHS edge </t>
  </si>
  <si>
    <t>Total</t>
  </si>
  <si>
    <t xml:space="preserve">Average reinforcement ratio accounting top reinforcement total volume </t>
  </si>
  <si>
    <t xml:space="preserve">1.3 factor to account laps </t>
  </si>
  <si>
    <t xml:space="preserve">Top and bot reinforcement </t>
  </si>
  <si>
    <t>m^3</t>
  </si>
  <si>
    <r>
      <t>Total mass (7850 kg/m</t>
    </r>
    <r>
      <rPr>
        <vertAlign val="superscript"/>
        <sz val="8"/>
        <color theme="1"/>
        <rFont val="Arial"/>
        <family val="2"/>
      </rPr>
      <t>3</t>
    </r>
    <r>
      <rPr>
        <sz val="8"/>
        <color theme="1"/>
        <rFont val="Arial"/>
        <family val="2"/>
      </rPr>
      <t xml:space="preserve"> density)</t>
    </r>
  </si>
  <si>
    <t xml:space="preserve">kg </t>
  </si>
  <si>
    <t xml:space="preserve">Total unfactored mass per cubic meter </t>
  </si>
  <si>
    <r>
      <t>kg/m</t>
    </r>
    <r>
      <rPr>
        <vertAlign val="superscript"/>
        <sz val="8"/>
        <color theme="1"/>
        <rFont val="Arial "/>
      </rPr>
      <t>3</t>
    </r>
  </si>
  <si>
    <t xml:space="preserve">Total factored mass per cubic meter </t>
  </si>
  <si>
    <t>Top/Inner Location</t>
  </si>
  <si>
    <t>Local/Global</t>
  </si>
  <si>
    <t>YY/ZZ</t>
  </si>
  <si>
    <t>ZZ</t>
  </si>
  <si>
    <t>Bot/Outer Location</t>
  </si>
  <si>
    <r>
      <t>Zone Area (m</t>
    </r>
    <r>
      <rPr>
        <b/>
        <vertAlign val="superscript"/>
        <sz val="8"/>
        <color theme="1"/>
        <rFont val="Arial "/>
      </rPr>
      <t>2</t>
    </r>
    <r>
      <rPr>
        <b/>
        <sz val="8"/>
        <color theme="1"/>
        <rFont val="Arial "/>
      </rPr>
      <t>)</t>
    </r>
  </si>
  <si>
    <r>
      <t>M</t>
    </r>
    <r>
      <rPr>
        <b/>
        <vertAlign val="subscript"/>
        <sz val="8"/>
        <color theme="1"/>
        <rFont val="Arial "/>
      </rPr>
      <t xml:space="preserve">sls,max </t>
    </r>
    <r>
      <rPr>
        <b/>
        <sz val="8"/>
        <color theme="1"/>
        <rFont val="Arial "/>
      </rPr>
      <t>(kNm/m)</t>
    </r>
  </si>
  <si>
    <t xml:space="preserve">Standard </t>
  </si>
  <si>
    <t xml:space="preserve">RHS  edge with  panel3  </t>
  </si>
  <si>
    <t xml:space="preserve">LHS edge  with top+bot slab </t>
  </si>
  <si>
    <t xml:space="preserve">Edge with panel 3 </t>
  </si>
  <si>
    <t>Middle. standard</t>
  </si>
  <si>
    <t>XX/ZZ</t>
  </si>
  <si>
    <t xml:space="preserve">Bot edge </t>
  </si>
  <si>
    <t xml:space="preserve">Side edges </t>
  </si>
  <si>
    <t xml:space="preserve">Middle </t>
  </si>
  <si>
    <t xml:space="preserve">Bot edges </t>
  </si>
  <si>
    <t xml:space="preserve">RHS/LHS edge </t>
  </si>
  <si>
    <t xml:space="preserve">Middle. Standard </t>
  </si>
  <si>
    <t xml:space="preserve">Mid panel </t>
  </si>
  <si>
    <t>Bot/outer Location</t>
  </si>
  <si>
    <t>Top/inner Location</t>
  </si>
  <si>
    <t>Corners XX</t>
  </si>
  <si>
    <t>Corners YY</t>
  </si>
  <si>
    <t xml:space="preserve">Edge with panel 3  </t>
  </si>
  <si>
    <t>Checks</t>
  </si>
  <si>
    <t>Shear</t>
  </si>
  <si>
    <t>N</t>
  </si>
  <si>
    <r>
      <t>Flexural reinf. volume (m</t>
    </r>
    <r>
      <rPr>
        <b/>
        <vertAlign val="superscript"/>
        <sz val="8"/>
        <color theme="1"/>
        <rFont val="Arial"/>
        <family val="2"/>
      </rPr>
      <t>3</t>
    </r>
    <r>
      <rPr>
        <b/>
        <sz val="8"/>
        <color theme="1"/>
        <rFont val="Arial"/>
        <family val="2"/>
      </rPr>
      <t>)</t>
    </r>
  </si>
  <si>
    <r>
      <t>Zone Area (m</t>
    </r>
    <r>
      <rPr>
        <vertAlign val="superscript"/>
        <sz val="8"/>
        <color theme="1"/>
        <rFont val="Arial"/>
        <family val="2"/>
      </rPr>
      <t>2</t>
    </r>
    <r>
      <rPr>
        <sz val="8"/>
        <color theme="1"/>
        <rFont val="Arial"/>
        <family val="2"/>
      </rPr>
      <t>)</t>
    </r>
  </si>
  <si>
    <r>
      <t>M</t>
    </r>
    <r>
      <rPr>
        <vertAlign val="subscript"/>
        <sz val="8"/>
        <color theme="1"/>
        <rFont val="Arial"/>
        <family val="2"/>
      </rPr>
      <t xml:space="preserve">sls,max </t>
    </r>
    <r>
      <rPr>
        <sz val="8"/>
        <color theme="1"/>
        <rFont val="Arial"/>
        <family val="2"/>
      </rPr>
      <t>(kNm/m)</t>
    </r>
  </si>
  <si>
    <r>
      <t>1</t>
    </r>
    <r>
      <rPr>
        <vertAlign val="superscript"/>
        <sz val="8"/>
        <color theme="1"/>
        <rFont val="Arial"/>
        <family val="2"/>
      </rPr>
      <t>st</t>
    </r>
    <r>
      <rPr>
        <sz val="8"/>
        <color theme="1"/>
        <rFont val="Arial"/>
        <family val="2"/>
      </rPr>
      <t xml:space="preserve"> layer</t>
    </r>
  </si>
  <si>
    <r>
      <t>2</t>
    </r>
    <r>
      <rPr>
        <vertAlign val="superscript"/>
        <sz val="8"/>
        <color theme="1"/>
        <rFont val="Arial"/>
        <family val="2"/>
      </rPr>
      <t>nd</t>
    </r>
    <r>
      <rPr>
        <sz val="8"/>
        <color theme="1"/>
        <rFont val="Arial"/>
        <family val="2"/>
      </rPr>
      <t xml:space="preserve"> layer</t>
    </r>
  </si>
  <si>
    <r>
      <t>A</t>
    </r>
    <r>
      <rPr>
        <vertAlign val="subscript"/>
        <sz val="8"/>
        <color theme="1"/>
        <rFont val="Arial"/>
        <family val="2"/>
      </rPr>
      <t>s,total</t>
    </r>
    <r>
      <rPr>
        <sz val="8"/>
        <color theme="1"/>
        <rFont val="Arial"/>
        <family val="2"/>
      </rPr>
      <t xml:space="preserve"> (mm</t>
    </r>
    <r>
      <rPr>
        <vertAlign val="superscript"/>
        <sz val="8"/>
        <color theme="1"/>
        <rFont val="Arial"/>
        <family val="2"/>
      </rPr>
      <t>2</t>
    </r>
    <r>
      <rPr>
        <sz val="8"/>
        <color theme="1"/>
        <rFont val="Arial"/>
        <family val="2"/>
      </rPr>
      <t>/m)</t>
    </r>
  </si>
  <si>
    <r>
      <t>Flexural reinf. volume (m</t>
    </r>
    <r>
      <rPr>
        <vertAlign val="superscript"/>
        <sz val="8"/>
        <color theme="1"/>
        <rFont val="Arial"/>
        <family val="2"/>
      </rPr>
      <t>3</t>
    </r>
    <r>
      <rPr>
        <sz val="8"/>
        <color theme="1"/>
        <rFont val="Arial"/>
        <family val="2"/>
      </rPr>
      <t>)</t>
    </r>
  </si>
  <si>
    <t xml:space="preserve">Average reinforcement ratio </t>
  </si>
  <si>
    <t xml:space="preserve">Area of a single panel </t>
  </si>
  <si>
    <t>`</t>
  </si>
  <si>
    <r>
      <t>Total shear volume (m</t>
    </r>
    <r>
      <rPr>
        <b/>
        <vertAlign val="superscript"/>
        <sz val="8"/>
        <color theme="1"/>
        <rFont val="Arial"/>
        <family val="2"/>
      </rPr>
      <t>3</t>
    </r>
    <r>
      <rPr>
        <b/>
        <sz val="8"/>
        <color theme="1"/>
        <rFont val="Arial"/>
        <family val="2"/>
      </rPr>
      <t xml:space="preserve">) </t>
    </r>
  </si>
  <si>
    <t>Longit. spacing (mm)</t>
  </si>
  <si>
    <t>Checks with shear</t>
  </si>
  <si>
    <t xml:space="preserve">Checks without shear </t>
  </si>
  <si>
    <t>Shear Diameter if present (mm) [1]</t>
  </si>
  <si>
    <t>[1]</t>
  </si>
  <si>
    <t xml:space="preserve">If shear is present, covers are increased by the length of the shear reinforcement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</si>
</sst>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"/>
  </numFmts>
  <fonts count="2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Arial"/>
      <family val="2"/>
    </font>
    <font>
      <b/>
      <vertAlign val="superscript"/>
      <sz val="8"/>
      <color theme="1"/>
      <name val="Arial"/>
      <family val="2"/>
    </font>
    <font>
      <b/>
      <vertAlign val="subscript"/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sz val="8"/>
      <color theme="1" tint="4.9989318521683403E-2"/>
      <name val="Arial"/>
      <family val="2"/>
    </font>
    <font>
      <sz val="8"/>
      <color rgb="FFFF0000"/>
      <name val="Arial"/>
      <family val="2"/>
    </font>
    <font>
      <sz val="11"/>
      <color theme="1"/>
      <name val="Arial"/>
      <family val="2"/>
    </font>
    <font>
      <b/>
      <sz val="10"/>
      <color rgb="FFFF0000"/>
      <name val="Arial"/>
      <family val="2"/>
    </font>
    <font>
      <vertAlign val="superscript"/>
      <sz val="8"/>
      <color theme="1"/>
      <name val="Arial"/>
      <family val="2"/>
    </font>
    <font>
      <sz val="8"/>
      <color theme="1"/>
      <name val="Arial "/>
    </font>
    <font>
      <vertAlign val="superscript"/>
      <sz val="8"/>
      <color theme="1"/>
      <name val="Arial "/>
    </font>
    <font>
      <b/>
      <sz val="8"/>
      <color theme="1"/>
      <name val="Arial "/>
    </font>
    <font>
      <sz val="8"/>
      <color rgb="FF000000"/>
      <name val="Arial"/>
      <family val="2"/>
    </font>
    <font>
      <sz val="11"/>
      <color theme="1"/>
      <name val="Arial "/>
    </font>
    <font>
      <b/>
      <vertAlign val="superscript"/>
      <sz val="8"/>
      <color theme="1"/>
      <name val="Arial "/>
    </font>
    <font>
      <b/>
      <vertAlign val="subscript"/>
      <sz val="8"/>
      <color theme="1"/>
      <name val="Arial "/>
    </font>
    <font>
      <sz val="8"/>
      <color rgb="FFFF0000"/>
      <name val="Arial "/>
    </font>
    <font>
      <b/>
      <sz val="9"/>
      <color theme="1"/>
      <name val="Arial "/>
    </font>
    <font>
      <vertAlign val="subscript"/>
      <sz val="8"/>
      <color theme="1"/>
      <name val="Arial"/>
      <family val="2"/>
    </font>
    <font>
      <b/>
      <sz val="8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/>
      <top style="medium">
        <color rgb="FFBFBFBF"/>
      </top>
      <bottom style="medium">
        <color rgb="FFBFBFBF"/>
      </bottom>
      <diagonal/>
    </border>
    <border>
      <left/>
      <right/>
      <top style="medium">
        <color rgb="FFBFBFBF"/>
      </top>
      <bottom style="medium">
        <color rgb="FFBFBFBF"/>
      </bottom>
      <diagonal/>
    </border>
    <border>
      <left/>
      <right/>
      <top style="medium">
        <color rgb="FFBFBFB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BFBFBF"/>
      </left>
      <right/>
      <top/>
      <bottom/>
      <diagonal/>
    </border>
    <border>
      <left style="medium">
        <color rgb="FFBFBFBF"/>
      </left>
      <right/>
      <top style="medium">
        <color rgb="FFBFBFBF"/>
      </top>
      <bottom/>
      <diagonal/>
    </border>
    <border>
      <left style="medium">
        <color rgb="FFBFBFBF"/>
      </left>
      <right/>
      <top/>
      <bottom style="medium">
        <color rgb="FFBFBFBF"/>
      </bottom>
      <diagonal/>
    </border>
  </borders>
  <cellStyleXfs count="2">
    <xf numFmtId="0" fontId="0" fillId="0" borderId="0"/>
    <xf numFmtId="0" fontId="1" fillId="0" borderId="0"/>
  </cellStyleXfs>
  <cellXfs count="13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0" borderId="1" xfId="1" applyFont="1" applyBorder="1" applyAlignment="1">
      <alignment horizontal="right" vertical="center" wrapText="1"/>
    </xf>
    <xf numFmtId="0" fontId="3" fillId="0" borderId="1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5" xfId="1" applyFont="1" applyBorder="1" applyAlignment="1">
      <alignment vertical="center" wrapText="1"/>
    </xf>
    <xf numFmtId="0" fontId="7" fillId="0" borderId="6" xfId="1" applyFont="1" applyBorder="1" applyAlignment="1">
      <alignment horizontal="center" vertical="center" wrapText="1"/>
    </xf>
    <xf numFmtId="0" fontId="1" fillId="0" borderId="0" xfId="1"/>
    <xf numFmtId="0" fontId="7" fillId="0" borderId="7" xfId="1" applyFont="1" applyBorder="1" applyAlignment="1">
      <alignment horizontal="right" vertical="center" wrapText="1"/>
    </xf>
    <xf numFmtId="0" fontId="7" fillId="0" borderId="8" xfId="1" applyFont="1" applyBorder="1" applyAlignment="1">
      <alignment horizontal="center" vertical="center" wrapText="1"/>
    </xf>
    <xf numFmtId="2" fontId="7" fillId="0" borderId="8" xfId="1" applyNumberFormat="1" applyFont="1" applyBorder="1" applyAlignment="1">
      <alignment horizontal="center" vertical="center" wrapText="1"/>
    </xf>
    <xf numFmtId="1" fontId="7" fillId="0" borderId="8" xfId="1" applyNumberFormat="1" applyFont="1" applyBorder="1" applyAlignment="1">
      <alignment horizontal="center" vertical="center" wrapText="1"/>
    </xf>
    <xf numFmtId="164" fontId="7" fillId="0" borderId="8" xfId="1" applyNumberFormat="1" applyFont="1" applyBorder="1" applyAlignment="1">
      <alignment horizontal="center" vertical="center" wrapText="1"/>
    </xf>
    <xf numFmtId="0" fontId="6" fillId="0" borderId="0" xfId="1" applyFont="1" applyAlignment="1">
      <alignment vertical="center" wrapText="1"/>
    </xf>
    <xf numFmtId="0" fontId="8" fillId="0" borderId="6" xfId="1" applyFont="1" applyBorder="1" applyAlignment="1">
      <alignment horizontal="center" vertical="center" wrapText="1"/>
    </xf>
    <xf numFmtId="1" fontId="7" fillId="2" borderId="8" xfId="1" applyNumberFormat="1" applyFont="1" applyFill="1" applyBorder="1" applyAlignment="1">
      <alignment horizontal="center" vertical="center" wrapText="1"/>
    </xf>
    <xf numFmtId="2" fontId="6" fillId="0" borderId="0" xfId="1" applyNumberFormat="1" applyFont="1" applyAlignment="1">
      <alignment vertical="center" wrapText="1"/>
    </xf>
    <xf numFmtId="1" fontId="7" fillId="2" borderId="6" xfId="1" applyNumberFormat="1" applyFont="1" applyFill="1" applyBorder="1" applyAlignment="1">
      <alignment horizontal="center" vertical="center" wrapText="1"/>
    </xf>
    <xf numFmtId="164" fontId="7" fillId="2" borderId="6" xfId="1" applyNumberFormat="1" applyFont="1" applyFill="1" applyBorder="1" applyAlignment="1">
      <alignment horizontal="center" vertical="center" wrapText="1"/>
    </xf>
    <xf numFmtId="1" fontId="9" fillId="0" borderId="8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right" vertical="center" wrapText="1"/>
    </xf>
    <xf numFmtId="0" fontId="9" fillId="0" borderId="8" xfId="1" applyFont="1" applyBorder="1" applyAlignment="1">
      <alignment horizontal="center" vertical="center" wrapText="1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vertical="center" wrapText="1"/>
    </xf>
    <xf numFmtId="2" fontId="7" fillId="0" borderId="0" xfId="1" applyNumberFormat="1" applyFont="1" applyAlignment="1">
      <alignment horizontal="center" vertical="center" wrapText="1"/>
    </xf>
    <xf numFmtId="0" fontId="7" fillId="0" borderId="0" xfId="1" applyFont="1" applyAlignment="1">
      <alignment horizontal="center" vertical="center"/>
    </xf>
    <xf numFmtId="0" fontId="7" fillId="0" borderId="0" xfId="1" applyFont="1" applyAlignment="1">
      <alignment horizontal="center"/>
    </xf>
    <xf numFmtId="0" fontId="7" fillId="0" borderId="7" xfId="1" applyFont="1" applyBorder="1" applyAlignment="1">
      <alignment horizontal="center" vertical="center" wrapText="1"/>
    </xf>
    <xf numFmtId="2" fontId="7" fillId="0" borderId="7" xfId="1" applyNumberFormat="1" applyFont="1" applyBorder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164" fontId="7" fillId="0" borderId="0" xfId="1" applyNumberFormat="1" applyFont="1" applyAlignment="1">
      <alignment horizontal="right" vertical="center"/>
    </xf>
    <xf numFmtId="165" fontId="7" fillId="0" borderId="0" xfId="1" applyNumberFormat="1" applyFont="1" applyAlignment="1">
      <alignment horizontal="left" vertical="center"/>
    </xf>
    <xf numFmtId="0" fontId="1" fillId="0" borderId="0" xfId="1" applyAlignment="1">
      <alignment vertical="center"/>
    </xf>
    <xf numFmtId="0" fontId="7" fillId="0" borderId="0" xfId="1" applyFont="1" applyAlignment="1">
      <alignment horizontal="right" vertical="center"/>
    </xf>
    <xf numFmtId="0" fontId="7" fillId="0" borderId="0" xfId="1" applyFont="1" applyAlignment="1">
      <alignment vertical="center"/>
    </xf>
    <xf numFmtId="0" fontId="7" fillId="0" borderId="0" xfId="1" applyFont="1" applyAlignment="1">
      <alignment horizontal="right" vertical="center"/>
    </xf>
    <xf numFmtId="2" fontId="7" fillId="0" borderId="0" xfId="1" applyNumberFormat="1" applyFont="1" applyAlignment="1">
      <alignment vertical="center"/>
    </xf>
    <xf numFmtId="166" fontId="7" fillId="0" borderId="0" xfId="1" applyNumberFormat="1" applyFont="1" applyAlignment="1">
      <alignment vertical="center"/>
    </xf>
    <xf numFmtId="2" fontId="13" fillId="0" borderId="0" xfId="1" applyNumberFormat="1" applyFont="1" applyAlignment="1">
      <alignment vertical="center"/>
    </xf>
    <xf numFmtId="0" fontId="13" fillId="0" borderId="0" xfId="1" applyFont="1" applyAlignment="1">
      <alignment horizontal="left" vertical="center"/>
    </xf>
    <xf numFmtId="0" fontId="6" fillId="0" borderId="2" xfId="1" applyFont="1" applyBorder="1" applyAlignment="1">
      <alignment vertical="center" wrapText="1"/>
    </xf>
    <xf numFmtId="0" fontId="15" fillId="0" borderId="1" xfId="1" applyFont="1" applyBorder="1" applyAlignment="1">
      <alignment horizontal="right" vertical="center" wrapText="1"/>
    </xf>
    <xf numFmtId="0" fontId="15" fillId="0" borderId="1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 wrapText="1"/>
    </xf>
    <xf numFmtId="0" fontId="13" fillId="0" borderId="7" xfId="1" applyFont="1" applyBorder="1" applyAlignment="1">
      <alignment horizontal="right" vertical="center" wrapText="1"/>
    </xf>
    <xf numFmtId="0" fontId="13" fillId="0" borderId="8" xfId="1" applyFont="1" applyBorder="1" applyAlignment="1">
      <alignment horizontal="center" vertical="center" wrapText="1"/>
    </xf>
    <xf numFmtId="2" fontId="13" fillId="0" borderId="8" xfId="1" applyNumberFormat="1" applyFont="1" applyBorder="1" applyAlignment="1">
      <alignment horizontal="center" vertical="center" wrapText="1"/>
    </xf>
    <xf numFmtId="0" fontId="16" fillId="0" borderId="1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right" vertical="center" wrapText="1"/>
    </xf>
    <xf numFmtId="0" fontId="17" fillId="0" borderId="5" xfId="1" applyFont="1" applyBorder="1"/>
    <xf numFmtId="0" fontId="7" fillId="0" borderId="0" xfId="1" applyFont="1" applyAlignment="1">
      <alignment vertical="center" wrapText="1"/>
    </xf>
    <xf numFmtId="0" fontId="9" fillId="0" borderId="0" xfId="1" applyFont="1" applyAlignment="1">
      <alignment vertical="center" wrapText="1"/>
    </xf>
    <xf numFmtId="0" fontId="15" fillId="0" borderId="2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center" wrapText="1"/>
    </xf>
    <xf numFmtId="0" fontId="6" fillId="0" borderId="13" xfId="1" applyFont="1" applyBorder="1" applyAlignment="1">
      <alignment vertical="center" wrapText="1"/>
    </xf>
    <xf numFmtId="0" fontId="7" fillId="0" borderId="0" xfId="1" applyFont="1" applyAlignment="1">
      <alignment horizontal="center" vertical="center" wrapText="1"/>
    </xf>
    <xf numFmtId="0" fontId="3" fillId="0" borderId="0" xfId="1" applyFont="1" applyAlignment="1">
      <alignment vertical="center" wrapText="1"/>
    </xf>
    <xf numFmtId="164" fontId="9" fillId="0" borderId="8" xfId="1" applyNumberFormat="1" applyFont="1" applyBorder="1" applyAlignment="1">
      <alignment horizontal="center" vertical="center" wrapText="1"/>
    </xf>
    <xf numFmtId="1" fontId="9" fillId="2" borderId="8" xfId="1" applyNumberFormat="1" applyFont="1" applyFill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164" fontId="7" fillId="0" borderId="0" xfId="1" applyNumberFormat="1" applyFont="1" applyAlignment="1">
      <alignment horizontal="center" vertical="center"/>
    </xf>
    <xf numFmtId="165" fontId="7" fillId="0" borderId="0" xfId="1" applyNumberFormat="1" applyFont="1" applyAlignment="1">
      <alignment horizontal="center" vertical="center"/>
    </xf>
    <xf numFmtId="2" fontId="7" fillId="0" borderId="0" xfId="1" applyNumberFormat="1" applyFont="1" applyAlignment="1">
      <alignment horizontal="center" vertical="center"/>
    </xf>
    <xf numFmtId="0" fontId="1" fillId="0" borderId="0" xfId="1" applyAlignment="1">
      <alignment horizontal="center" vertical="center"/>
    </xf>
    <xf numFmtId="166" fontId="7" fillId="0" borderId="0" xfId="1" applyNumberFormat="1" applyFont="1" applyAlignment="1">
      <alignment horizontal="center" vertical="center"/>
    </xf>
    <xf numFmtId="2" fontId="13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6" fillId="0" borderId="8" xfId="1" applyFont="1" applyBorder="1" applyAlignment="1">
      <alignment horizontal="center" vertical="center" wrapText="1"/>
    </xf>
    <xf numFmtId="0" fontId="16" fillId="0" borderId="2" xfId="1" applyFont="1" applyBorder="1" applyAlignment="1">
      <alignment horizontal="center" vertical="center" wrapText="1"/>
    </xf>
    <xf numFmtId="0" fontId="20" fillId="0" borderId="8" xfId="1" applyFont="1" applyBorder="1" applyAlignment="1">
      <alignment horizontal="center" vertical="center" wrapText="1"/>
    </xf>
    <xf numFmtId="164" fontId="7" fillId="0" borderId="7" xfId="1" applyNumberFormat="1" applyFont="1" applyBorder="1" applyAlignment="1">
      <alignment horizontal="center" vertical="center" wrapText="1"/>
    </xf>
    <xf numFmtId="0" fontId="16" fillId="0" borderId="0" xfId="1" applyFont="1" applyAlignment="1">
      <alignment vertical="center" wrapText="1"/>
    </xf>
    <xf numFmtId="0" fontId="21" fillId="0" borderId="1" xfId="1" applyFont="1" applyBorder="1" applyAlignment="1">
      <alignment horizontal="right" vertical="center" wrapText="1"/>
    </xf>
    <xf numFmtId="0" fontId="3" fillId="3" borderId="2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horizontal="right" vertical="center" wrapText="1"/>
    </xf>
    <xf numFmtId="0" fontId="7" fillId="0" borderId="1" xfId="1" applyFont="1" applyBorder="1" applyAlignment="1">
      <alignment horizontal="center" vertical="center" wrapText="1"/>
    </xf>
    <xf numFmtId="0" fontId="7" fillId="3" borderId="2" xfId="1" applyFont="1" applyFill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2" fontId="3" fillId="0" borderId="8" xfId="1" applyNumberFormat="1" applyFont="1" applyBorder="1" applyAlignment="1">
      <alignment horizontal="center" vertical="center" wrapText="1"/>
    </xf>
    <xf numFmtId="0" fontId="23" fillId="0" borderId="8" xfId="1" applyFont="1" applyBorder="1" applyAlignment="1">
      <alignment horizontal="center" vertical="center" wrapText="1"/>
    </xf>
    <xf numFmtId="1" fontId="3" fillId="0" borderId="8" xfId="1" applyNumberFormat="1" applyFont="1" applyBorder="1" applyAlignment="1">
      <alignment horizontal="center" vertical="center" wrapText="1"/>
    </xf>
    <xf numFmtId="164" fontId="3" fillId="0" borderId="8" xfId="1" applyNumberFormat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7" fillId="0" borderId="0" xfId="1" applyFont="1" applyAlignment="1">
      <alignment horizontal="left" vertical="center"/>
    </xf>
    <xf numFmtId="0" fontId="7" fillId="0" borderId="2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1" fontId="7" fillId="0" borderId="2" xfId="1" applyNumberFormat="1" applyFont="1" applyBorder="1" applyAlignment="1">
      <alignment horizontal="center" vertical="center" wrapText="1"/>
    </xf>
    <xf numFmtId="0" fontId="7" fillId="0" borderId="3" xfId="1" applyFont="1" applyBorder="1" applyAlignment="1">
      <alignment horizontal="center" vertical="center" wrapText="1"/>
    </xf>
    <xf numFmtId="0" fontId="7" fillId="0" borderId="4" xfId="1" applyFont="1" applyBorder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0" fontId="3" fillId="0" borderId="3" xfId="1" applyFont="1" applyBorder="1" applyAlignment="1">
      <alignment horizontal="center" vertical="center" wrapText="1"/>
    </xf>
    <xf numFmtId="0" fontId="3" fillId="0" borderId="4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13" fillId="0" borderId="0" xfId="1" applyFont="1" applyAlignment="1">
      <alignment horizontal="right" vertical="center"/>
    </xf>
    <xf numFmtId="0" fontId="7" fillId="0" borderId="5" xfId="1" applyFont="1" applyBorder="1" applyAlignment="1">
      <alignment horizontal="center"/>
    </xf>
    <xf numFmtId="0" fontId="7" fillId="0" borderId="0" xfId="1" applyFont="1" applyAlignment="1">
      <alignment horizontal="right" vertical="center" wrapText="1"/>
    </xf>
    <xf numFmtId="0" fontId="7" fillId="0" borderId="0" xfId="1" applyFont="1" applyAlignment="1">
      <alignment horizontal="right" vertical="center"/>
    </xf>
    <xf numFmtId="0" fontId="8" fillId="0" borderId="9" xfId="1" applyFont="1" applyBorder="1" applyAlignment="1">
      <alignment horizontal="center" vertical="center" wrapText="1"/>
    </xf>
    <xf numFmtId="0" fontId="8" fillId="0" borderId="10" xfId="1" applyFont="1" applyBorder="1" applyAlignment="1">
      <alignment horizontal="center" vertical="center" wrapText="1"/>
    </xf>
    <xf numFmtId="0" fontId="8" fillId="0" borderId="11" xfId="1" applyFont="1" applyBorder="1" applyAlignment="1">
      <alignment horizontal="center" vertical="center" wrapText="1"/>
    </xf>
    <xf numFmtId="0" fontId="8" fillId="0" borderId="12" xfId="1" applyFont="1" applyBorder="1" applyAlignment="1">
      <alignment horizontal="center" vertical="center" wrapText="1"/>
    </xf>
    <xf numFmtId="0" fontId="17" fillId="0" borderId="0" xfId="1" applyFont="1" applyAlignment="1">
      <alignment horizontal="center"/>
    </xf>
    <xf numFmtId="0" fontId="17" fillId="0" borderId="5" xfId="1" applyFont="1" applyBorder="1" applyAlignment="1">
      <alignment horizontal="center"/>
    </xf>
    <xf numFmtId="0" fontId="13" fillId="0" borderId="0" xfId="1" applyFont="1" applyAlignment="1">
      <alignment horizontal="right" vertical="center" wrapText="1"/>
    </xf>
    <xf numFmtId="0" fontId="15" fillId="0" borderId="5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 wrapText="1"/>
    </xf>
    <xf numFmtId="0" fontId="7" fillId="0" borderId="10" xfId="1" applyFont="1" applyBorder="1" applyAlignment="1">
      <alignment horizontal="center" vertical="center" wrapText="1"/>
    </xf>
    <xf numFmtId="0" fontId="7" fillId="0" borderId="0" xfId="1" applyFont="1" applyAlignment="1">
      <alignment horizontal="center" vertical="center"/>
    </xf>
    <xf numFmtId="0" fontId="8" fillId="0" borderId="6" xfId="1" applyFont="1" applyBorder="1" applyAlignment="1">
      <alignment horizontal="center" vertical="center" wrapText="1"/>
    </xf>
    <xf numFmtId="0" fontId="3" fillId="0" borderId="5" xfId="1" applyFont="1" applyBorder="1" applyAlignment="1">
      <alignment horizontal="center" vertical="center" wrapText="1"/>
    </xf>
    <xf numFmtId="0" fontId="10" fillId="0" borderId="4" xfId="1" applyFont="1" applyBorder="1" applyAlignment="1">
      <alignment horizontal="center" vertical="center"/>
    </xf>
    <xf numFmtId="0" fontId="13" fillId="0" borderId="0" xfId="1" applyFont="1" applyAlignment="1">
      <alignment horizontal="right"/>
    </xf>
    <xf numFmtId="0" fontId="7" fillId="0" borderId="0" xfId="1" applyFont="1" applyAlignment="1">
      <alignment horizontal="right"/>
    </xf>
    <xf numFmtId="0" fontId="7" fillId="0" borderId="5" xfId="1" applyFont="1" applyBorder="1" applyAlignment="1">
      <alignment horizontal="center" vertical="center" wrapText="1"/>
    </xf>
    <xf numFmtId="0" fontId="3" fillId="0" borderId="0" xfId="1" applyFont="1" applyBorder="1" applyAlignment="1">
      <alignment vertical="center" wrapText="1"/>
    </xf>
    <xf numFmtId="0" fontId="3" fillId="0" borderId="1" xfId="1" applyFont="1" applyBorder="1" applyAlignment="1">
      <alignment horizontal="center" wrapText="1"/>
    </xf>
    <xf numFmtId="0" fontId="3" fillId="0" borderId="2" xfId="1" applyFont="1" applyBorder="1" applyAlignment="1">
      <alignment horizontal="center" wrapText="1"/>
    </xf>
    <xf numFmtId="0" fontId="3" fillId="0" borderId="3" xfId="1" applyFont="1" applyBorder="1" applyAlignment="1">
      <alignment horizontal="center" wrapText="1"/>
    </xf>
    <xf numFmtId="0" fontId="3" fillId="0" borderId="3" xfId="1" applyFont="1" applyBorder="1" applyAlignment="1">
      <alignment horizontal="center" wrapText="1"/>
    </xf>
    <xf numFmtId="0" fontId="3" fillId="0" borderId="4" xfId="1" applyFont="1" applyBorder="1" applyAlignment="1">
      <alignment horizontal="center" wrapText="1"/>
    </xf>
    <xf numFmtId="0" fontId="7" fillId="0" borderId="7" xfId="1" applyFont="1" applyBorder="1" applyAlignment="1">
      <alignment horizontal="center" wrapText="1"/>
    </xf>
    <xf numFmtId="2" fontId="7" fillId="0" borderId="7" xfId="1" applyNumberFormat="1" applyFont="1" applyBorder="1" applyAlignment="1">
      <alignment horizontal="center" wrapText="1"/>
    </xf>
    <xf numFmtId="0" fontId="7" fillId="0" borderId="3" xfId="1" applyFont="1" applyBorder="1" applyAlignment="1">
      <alignment horizontal="center" wrapText="1"/>
    </xf>
    <xf numFmtId="1" fontId="7" fillId="0" borderId="3" xfId="1" applyNumberFormat="1" applyFont="1" applyBorder="1" applyAlignment="1">
      <alignment horizontal="center" wrapText="1"/>
    </xf>
    <xf numFmtId="0" fontId="3" fillId="0" borderId="2" xfId="1" applyFont="1" applyBorder="1" applyAlignment="1">
      <alignment horizontal="center" wrapText="1"/>
    </xf>
    <xf numFmtId="2" fontId="7" fillId="0" borderId="14" xfId="1" applyNumberFormat="1" applyFont="1" applyBorder="1" applyAlignment="1">
      <alignment horizontal="center" wrapText="1"/>
    </xf>
    <xf numFmtId="2" fontId="7" fillId="0" borderId="15" xfId="1" applyNumberFormat="1" applyFont="1" applyBorder="1" applyAlignment="1">
      <alignment horizontal="center" wrapText="1"/>
    </xf>
    <xf numFmtId="0" fontId="1" fillId="0" borderId="5" xfId="1" applyBorder="1" applyAlignment="1"/>
    <xf numFmtId="0" fontId="1" fillId="0" borderId="0" xfId="1" applyAlignment="1"/>
    <xf numFmtId="1" fontId="7" fillId="0" borderId="4" xfId="1" applyNumberFormat="1" applyFont="1" applyBorder="1" applyAlignment="1">
      <alignment horizontal="center" wrapText="1"/>
    </xf>
    <xf numFmtId="1" fontId="7" fillId="0" borderId="2" xfId="1" applyNumberFormat="1" applyFont="1" applyBorder="1" applyAlignment="1">
      <alignment horizontal="center" wrapText="1"/>
    </xf>
    <xf numFmtId="0" fontId="1" fillId="0" borderId="0" xfId="1" applyBorder="1" applyAlignment="1"/>
  </cellXfs>
  <cellStyles count="2">
    <cellStyle name="Normal" xfId="0" builtinId="0"/>
    <cellStyle name="Normal 2" xfId="1" xr:uid="{7C7A718A-2342-4E7B-8C2F-2CFF60EEA935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ottmac.sharepoint.com/teams/pj-b3821/do/Geotech%20Discipline/Retaining%20Structures/Canley%20Brook%20Wet%20Well/Consolidation/Calculations/spreadsheet/03%20-%20reinforcement%20ratios%20-%20Canle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  <sheetName val="7"/>
      <sheetName val="8"/>
      <sheetName val="reinf for shear checks"/>
      <sheetName val="reinf varia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H2" t="str">
            <v>25@250</v>
          </cell>
          <cell r="I2">
            <v>1963.4954084936207</v>
          </cell>
          <cell r="J2">
            <v>265</v>
          </cell>
        </row>
        <row r="3">
          <cell r="H3" t="str">
            <v>20@125</v>
          </cell>
          <cell r="I3">
            <v>2513.2741228718346</v>
          </cell>
          <cell r="J3">
            <v>292</v>
          </cell>
        </row>
        <row r="4">
          <cell r="H4" t="str">
            <v>25@25020@250</v>
          </cell>
          <cell r="I4">
            <v>3220.1324699295383</v>
          </cell>
          <cell r="J4">
            <v>315</v>
          </cell>
        </row>
        <row r="5">
          <cell r="H5" t="str">
            <v>20@12520@250</v>
          </cell>
          <cell r="I5">
            <v>3769.9111843077517</v>
          </cell>
          <cell r="J5">
            <v>333</v>
          </cell>
        </row>
        <row r="6">
          <cell r="H6" t="str">
            <v>25@125</v>
          </cell>
          <cell r="I6">
            <v>3926.9908169872415</v>
          </cell>
          <cell r="J6">
            <v>338</v>
          </cell>
        </row>
        <row r="7">
          <cell r="H7" t="str">
            <v>20@12525@250</v>
          </cell>
          <cell r="I7">
            <v>4476.7695313654549</v>
          </cell>
          <cell r="J7">
            <v>352</v>
          </cell>
        </row>
        <row r="8">
          <cell r="H8" t="str">
            <v>20@12520@125</v>
          </cell>
          <cell r="I8">
            <v>5027</v>
          </cell>
          <cell r="J8">
            <v>365</v>
          </cell>
        </row>
        <row r="9">
          <cell r="H9" t="str">
            <v>25@12520@250</v>
          </cell>
          <cell r="I9">
            <v>5183.627878423159</v>
          </cell>
          <cell r="J9">
            <v>370</v>
          </cell>
        </row>
        <row r="10">
          <cell r="H10" t="str">
            <v>25@12525@250</v>
          </cell>
          <cell r="I10">
            <v>5890.4862254808622</v>
          </cell>
          <cell r="J10">
            <v>385</v>
          </cell>
        </row>
        <row r="11">
          <cell r="H11" t="str">
            <v>25@12520@125</v>
          </cell>
          <cell r="I11">
            <v>6440</v>
          </cell>
          <cell r="J11">
            <v>397</v>
          </cell>
        </row>
        <row r="12">
          <cell r="H12" t="str">
            <v>25@12525@125</v>
          </cell>
          <cell r="I12">
            <v>7853.981633974483</v>
          </cell>
          <cell r="J12">
            <v>422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DC80-2A67-4A44-800B-4FC983F0FCC9}">
  <sheetPr codeName="Sheet3"/>
  <dimension ref="A1:U29"/>
  <sheetViews>
    <sheetView zoomScale="145" zoomScaleNormal="145" workbookViewId="0">
      <selection activeCell="S14" sqref="S14"/>
    </sheetView>
  </sheetViews>
  <sheetFormatPr defaultRowHeight="15"/>
  <cols>
    <col min="1" max="1" width="12.625" style="9" customWidth="1"/>
    <col min="2" max="2" width="7.25" style="9" customWidth="1"/>
    <col min="3" max="6" width="8.25" style="9" customWidth="1"/>
    <col min="7" max="7" width="9.375" style="9" customWidth="1"/>
    <col min="8" max="8" width="2.875" style="9" customWidth="1"/>
    <col min="9" max="9" width="1.875" style="9" bestFit="1" customWidth="1"/>
    <col min="10" max="10" width="3.875" style="9" customWidth="1"/>
    <col min="11" max="11" width="2.375" style="9" bestFit="1" customWidth="1"/>
    <col min="12" max="12" width="2.25" style="9" bestFit="1" customWidth="1"/>
    <col min="13" max="13" width="3.125" style="9" bestFit="1" customWidth="1"/>
    <col min="14" max="14" width="9.5" style="9" customWidth="1"/>
    <col min="15" max="15" width="9.625" style="9" customWidth="1"/>
    <col min="16" max="16" width="11.75" style="9" customWidth="1"/>
    <col min="17" max="18" width="8.125" style="9" customWidth="1"/>
    <col min="19" max="20" width="10" style="9" customWidth="1"/>
    <col min="21" max="21" width="11.75" style="9" customWidth="1"/>
    <col min="22" max="16384" width="9" style="9"/>
  </cols>
  <sheetData>
    <row r="1" spans="1:21" ht="45.75" thickBot="1">
      <c r="A1" s="3" t="s">
        <v>15</v>
      </c>
      <c r="B1" s="4" t="s">
        <v>16</v>
      </c>
      <c r="C1" s="6" t="s">
        <v>17</v>
      </c>
      <c r="D1" s="31"/>
      <c r="E1" s="31"/>
      <c r="F1" s="31"/>
      <c r="G1" s="6" t="s">
        <v>18</v>
      </c>
      <c r="H1" s="95" t="s">
        <v>19</v>
      </c>
      <c r="I1" s="96"/>
      <c r="J1" s="97"/>
      <c r="K1" s="95" t="s">
        <v>20</v>
      </c>
      <c r="L1" s="96"/>
      <c r="M1" s="97"/>
      <c r="N1" s="6" t="s">
        <v>21</v>
      </c>
      <c r="O1" s="90" t="s">
        <v>22</v>
      </c>
      <c r="P1" s="6" t="s">
        <v>91</v>
      </c>
      <c r="Q1" s="90" t="s">
        <v>89</v>
      </c>
      <c r="R1" s="31" t="s">
        <v>105</v>
      </c>
      <c r="S1" s="81" t="s">
        <v>103</v>
      </c>
      <c r="T1" s="81" t="s">
        <v>104</v>
      </c>
      <c r="U1" s="31" t="s">
        <v>24</v>
      </c>
    </row>
    <row r="2" spans="1:21" ht="15.75" thickBot="1">
      <c r="A2" s="10" t="s">
        <v>32</v>
      </c>
      <c r="B2" s="11" t="s">
        <v>33</v>
      </c>
      <c r="C2" s="12">
        <f>C10-C4-C6-C8</f>
        <v>103.125</v>
      </c>
      <c r="D2" s="13">
        <v>65</v>
      </c>
      <c r="E2" s="13">
        <v>75</v>
      </c>
      <c r="F2" s="13">
        <v>55</v>
      </c>
      <c r="G2" s="11">
        <v>215</v>
      </c>
      <c r="H2" s="11">
        <v>25</v>
      </c>
      <c r="I2" s="11" t="s">
        <v>34</v>
      </c>
      <c r="J2" s="11">
        <v>250</v>
      </c>
      <c r="K2" s="11"/>
      <c r="L2" s="11"/>
      <c r="M2" s="11"/>
      <c r="N2" s="13">
        <f>VLOOKUP(_xlfn.CONCAT(H2,I2,J2,K2,L2,M2),'[1]reinf variations'!$H$2:$J$12,2, FALSE)</f>
        <v>1963.4954084936207</v>
      </c>
      <c r="O2" s="14">
        <v>0.29343919669447954</v>
      </c>
      <c r="P2" s="12">
        <f>N2*C2/10^6</f>
        <v>0.20248546400090464</v>
      </c>
      <c r="Q2" s="12" t="b">
        <v>0</v>
      </c>
      <c r="R2" s="12"/>
      <c r="S2" s="14" cm="1">
        <f t="array" ref="S2">get_crack_width(D2, E2, F2, G2,H2,J2,K2,M2, Q2,R2)</f>
        <v>0.29345787650468563</v>
      </c>
      <c r="T2" s="14"/>
      <c r="U2" s="13">
        <f>VLOOKUP(_xlfn.CONCAT(H2,I2,J2,K2,L2,M2),'[1]reinf variations'!$H$2:$J$12,3, FALSE)</f>
        <v>265</v>
      </c>
    </row>
    <row r="3" spans="1:21" ht="15.75" thickBot="1">
      <c r="A3" s="10" t="s">
        <v>32</v>
      </c>
      <c r="B3" s="11" t="s">
        <v>36</v>
      </c>
      <c r="C3" s="12">
        <f>C10-C5-C7-C9</f>
        <v>102.125</v>
      </c>
      <c r="D3" s="17">
        <v>40</v>
      </c>
      <c r="E3" s="17">
        <v>50</v>
      </c>
      <c r="F3" s="17">
        <v>30</v>
      </c>
      <c r="G3" s="17">
        <v>165</v>
      </c>
      <c r="H3" s="11">
        <v>25</v>
      </c>
      <c r="I3" s="11" t="s">
        <v>34</v>
      </c>
      <c r="J3" s="11">
        <v>250</v>
      </c>
      <c r="K3" s="11"/>
      <c r="L3" s="11"/>
      <c r="M3" s="11"/>
      <c r="N3" s="13">
        <f>VLOOKUP(_xlfn.CONCAT(H3,I3,J3,K3,L3,M3),'[1]reinf variations'!$H$2:$J$12,2, FALSE)</f>
        <v>1963.4954084936207</v>
      </c>
      <c r="O3" s="14">
        <v>0.29797613145857627</v>
      </c>
      <c r="P3" s="12">
        <f>N3*C3/10^6</f>
        <v>0.20052196859241103</v>
      </c>
      <c r="Q3" s="12" t="b">
        <v>0</v>
      </c>
      <c r="R3" s="12"/>
      <c r="S3" s="14" cm="1">
        <f t="array" ref="S3">get_crack_width(D3, E3, F3, G3,H3,J3,K3,M3)</f>
        <v>0.29799003372680327</v>
      </c>
      <c r="T3" s="14"/>
      <c r="U3" s="13">
        <f>VLOOKUP(_xlfn.CONCAT(H3,I3,J3,K3,L3,M3),'[1]reinf variations'!$H$2:$J$12,3, FALSE)</f>
        <v>265</v>
      </c>
    </row>
    <row r="4" spans="1:21" ht="15.75" thickBot="1">
      <c r="A4" s="10" t="s">
        <v>37</v>
      </c>
      <c r="B4" s="11" t="s">
        <v>33</v>
      </c>
      <c r="C4" s="12">
        <f>3*3</f>
        <v>9</v>
      </c>
      <c r="D4" s="13">
        <v>65</v>
      </c>
      <c r="E4" s="13">
        <v>75</v>
      </c>
      <c r="F4" s="13">
        <v>55</v>
      </c>
      <c r="G4" s="11">
        <v>850</v>
      </c>
      <c r="H4" s="11">
        <v>25</v>
      </c>
      <c r="I4" s="11" t="s">
        <v>34</v>
      </c>
      <c r="J4" s="11">
        <v>125</v>
      </c>
      <c r="K4" s="11">
        <v>25</v>
      </c>
      <c r="L4" s="11" t="s">
        <v>34</v>
      </c>
      <c r="M4" s="11">
        <v>125</v>
      </c>
      <c r="N4" s="13">
        <f>VLOOKUP(_xlfn.CONCAT(H4,I4,J4,K4,L4,M4),'[1]reinf variations'!$H$2:$J$12,2, FALSE)</f>
        <v>7853.981633974483</v>
      </c>
      <c r="O4" s="14">
        <v>0.26818890894388075</v>
      </c>
      <c r="P4" s="12">
        <f>N4*C4/10^6</f>
        <v>7.0685834705770348E-2</v>
      </c>
      <c r="Q4" s="12" t="b">
        <v>0</v>
      </c>
      <c r="R4" s="12"/>
      <c r="S4" s="14" cm="1">
        <f t="array" ref="S4">get_crack_width(D4, E4, F4, G4,H4,J4,K4,M4)</f>
        <v>0.21958217412906292</v>
      </c>
      <c r="T4" s="14"/>
      <c r="U4" s="13">
        <f>VLOOKUP(_xlfn.CONCAT(H4,I4,J4,K4,L4,M4),'[1]reinf variations'!$H$2:$J$12,3, FALSE)</f>
        <v>422</v>
      </c>
    </row>
    <row r="5" spans="1:21" ht="15.75" thickBot="1">
      <c r="A5" s="10" t="s">
        <v>37</v>
      </c>
      <c r="B5" s="11" t="s">
        <v>36</v>
      </c>
      <c r="C5" s="12">
        <f>3*3</f>
        <v>9</v>
      </c>
      <c r="D5" s="17">
        <v>40</v>
      </c>
      <c r="E5" s="17">
        <v>50</v>
      </c>
      <c r="F5" s="17">
        <v>30</v>
      </c>
      <c r="G5" s="17">
        <v>900</v>
      </c>
      <c r="H5" s="11">
        <v>25</v>
      </c>
      <c r="I5" s="11" t="s">
        <v>34</v>
      </c>
      <c r="J5" s="11">
        <v>125</v>
      </c>
      <c r="K5" s="11">
        <v>25</v>
      </c>
      <c r="L5" s="11" t="s">
        <v>34</v>
      </c>
      <c r="M5" s="11">
        <v>250</v>
      </c>
      <c r="N5" s="13">
        <f>VLOOKUP(_xlfn.CONCAT(H5,I5,J5,K5,L5,M5),'[1]reinf variations'!$H$2:$J$12,2, FALSE)</f>
        <v>5890.4862254808622</v>
      </c>
      <c r="O5" s="14">
        <v>0.21133254132117754</v>
      </c>
      <c r="P5" s="12">
        <f>N5*C5/10^6</f>
        <v>5.3014376029327757E-2</v>
      </c>
      <c r="Q5" s="12" t="b">
        <v>0</v>
      </c>
      <c r="R5" s="12"/>
      <c r="S5" s="14" cm="1">
        <f t="array" ref="S5">get_crack_width(D5, E5, F5, G5,H5,J5,K5,M5)</f>
        <v>0.22642838554895078</v>
      </c>
      <c r="T5" s="14"/>
      <c r="U5" s="13">
        <f>VLOOKUP(_xlfn.CONCAT(H5,I5,J5,K5,L5,M5),'[1]reinf variations'!$H$2:$J$12,3, FALSE)</f>
        <v>385</v>
      </c>
    </row>
    <row r="6" spans="1:21" ht="15.75" thickBot="1">
      <c r="A6" s="10" t="s">
        <v>38</v>
      </c>
      <c r="B6" s="11" t="s">
        <v>33</v>
      </c>
      <c r="C6" s="12">
        <f>11.5*1</f>
        <v>11.5</v>
      </c>
      <c r="D6" s="13">
        <v>65</v>
      </c>
      <c r="E6" s="13">
        <v>75</v>
      </c>
      <c r="F6" s="13">
        <v>55</v>
      </c>
      <c r="G6" s="11">
        <v>465</v>
      </c>
      <c r="H6" s="11">
        <v>25</v>
      </c>
      <c r="I6" s="11" t="s">
        <v>34</v>
      </c>
      <c r="J6" s="11">
        <v>125</v>
      </c>
      <c r="K6" s="11"/>
      <c r="L6" s="11"/>
      <c r="M6" s="11"/>
      <c r="N6" s="13">
        <f>VLOOKUP(_xlfn.CONCAT(H6,I6,J6,K6,L6,M6),'[1]reinf variations'!$H$2:$J$12,2, FALSE)</f>
        <v>3926.9908169872415</v>
      </c>
      <c r="O6" s="14">
        <v>0.28444152439797327</v>
      </c>
      <c r="P6" s="12">
        <f>N6*C6/10^6</f>
        <v>4.5160394395353277E-2</v>
      </c>
      <c r="Q6" s="12" t="b">
        <v>0</v>
      </c>
      <c r="R6" s="12"/>
      <c r="S6" s="14" cm="1">
        <f t="array" ref="S6">get_crack_width(D6, E6, F6, G6,H6,J6,K6,M6)</f>
        <v>0.24886208058667689</v>
      </c>
      <c r="T6" s="14"/>
      <c r="U6" s="13">
        <f>VLOOKUP(_xlfn.CONCAT(H6,I6,J6,K6,L6,M6),'[1]reinf variations'!$H$2:$J$12,3, FALSE)</f>
        <v>338</v>
      </c>
    </row>
    <row r="7" spans="1:21" ht="15.75" thickBot="1">
      <c r="A7" s="10" t="s">
        <v>39</v>
      </c>
      <c r="B7" s="11" t="s">
        <v>36</v>
      </c>
      <c r="C7" s="12">
        <v>1</v>
      </c>
      <c r="D7" s="17">
        <v>40</v>
      </c>
      <c r="E7" s="17">
        <v>50</v>
      </c>
      <c r="F7" s="17">
        <v>30</v>
      </c>
      <c r="G7" s="17">
        <v>210</v>
      </c>
      <c r="H7" s="11">
        <v>25</v>
      </c>
      <c r="I7" s="11" t="s">
        <v>34</v>
      </c>
      <c r="J7" s="11">
        <v>250</v>
      </c>
      <c r="K7" s="11">
        <v>20</v>
      </c>
      <c r="L7" s="11" t="s">
        <v>34</v>
      </c>
      <c r="M7" s="11">
        <v>250</v>
      </c>
      <c r="N7" s="13">
        <f>VLOOKUP(_xlfn.CONCAT(H7,I7,J7,K7,L7,M7),'[1]reinf variations'!$H$2:$J$12,2, FALSE)</f>
        <v>3220.1324699295383</v>
      </c>
      <c r="O7" s="14">
        <v>0.2238908061139249</v>
      </c>
      <c r="P7" s="12">
        <f>N7*C7/10^6</f>
        <v>3.2201324699295381E-3</v>
      </c>
      <c r="Q7" s="12" t="b">
        <v>1</v>
      </c>
      <c r="R7" s="13">
        <v>12</v>
      </c>
      <c r="S7" s="14" cm="1">
        <f t="array" ref="S7">get_crack_width(D7, E7, F7, G7,H7,J7,K7,M7)</f>
        <v>0.22796974114241753</v>
      </c>
      <c r="T7" s="14"/>
      <c r="U7" s="13">
        <f>VLOOKUP(_xlfn.CONCAT(H7,I7,J7,K7,L7,M7),'[1]reinf variations'!$H$2:$J$12,3, FALSE)</f>
        <v>315</v>
      </c>
    </row>
    <row r="8" spans="1:21" ht="15.75" thickBot="1">
      <c r="A8" s="10" t="s">
        <v>40</v>
      </c>
      <c r="B8" s="11" t="s">
        <v>33</v>
      </c>
      <c r="C8" s="12">
        <f>11.5*1</f>
        <v>11.5</v>
      </c>
      <c r="D8" s="13">
        <v>65</v>
      </c>
      <c r="E8" s="13">
        <v>75</v>
      </c>
      <c r="F8" s="13">
        <v>55</v>
      </c>
      <c r="G8" s="11">
        <v>250</v>
      </c>
      <c r="H8" s="11">
        <v>25</v>
      </c>
      <c r="I8" s="11" t="s">
        <v>34</v>
      </c>
      <c r="J8" s="11">
        <v>250</v>
      </c>
      <c r="K8" s="11">
        <v>20</v>
      </c>
      <c r="L8" s="11" t="s">
        <v>34</v>
      </c>
      <c r="M8" s="11">
        <v>250</v>
      </c>
      <c r="N8" s="13">
        <f>VLOOKUP(_xlfn.CONCAT(H8,I8,J8,K8,L8,M8),'[1]reinf variations'!$H$2:$J$12,2, FALSE)</f>
        <v>3220.1324699295383</v>
      </c>
      <c r="O8" s="14">
        <v>0.17372056426232177</v>
      </c>
      <c r="P8" s="12">
        <f>N8*C8/10^6</f>
        <v>3.7031523404189692E-2</v>
      </c>
      <c r="Q8" s="12" t="b">
        <v>1</v>
      </c>
      <c r="R8" s="13">
        <v>10</v>
      </c>
      <c r="S8" s="14" cm="1">
        <f t="array" ref="S8">get_crack_width(D8, E8, F8, G8,H8,J8,K8,M8)</f>
        <v>0.16019127075843881</v>
      </c>
      <c r="T8" s="14"/>
      <c r="U8" s="13">
        <f>VLOOKUP(_xlfn.CONCAT(H8,I8,J8,K8,L8,M8),'[1]reinf variations'!$H$2:$J$12,3, FALSE)</f>
        <v>315</v>
      </c>
    </row>
    <row r="9" spans="1:21" ht="15.75" thickBot="1">
      <c r="A9" s="10" t="s">
        <v>41</v>
      </c>
      <c r="B9" s="11" t="s">
        <v>36</v>
      </c>
      <c r="C9" s="12">
        <f>2*11.5*1</f>
        <v>23</v>
      </c>
      <c r="D9" s="17">
        <v>40</v>
      </c>
      <c r="E9" s="17">
        <v>50</v>
      </c>
      <c r="F9" s="17">
        <v>30</v>
      </c>
      <c r="G9" s="17">
        <v>285</v>
      </c>
      <c r="H9" s="11">
        <v>25</v>
      </c>
      <c r="I9" s="11" t="s">
        <v>34</v>
      </c>
      <c r="J9" s="11">
        <v>125</v>
      </c>
      <c r="K9" s="11"/>
      <c r="L9" s="11"/>
      <c r="M9" s="11"/>
      <c r="N9" s="13">
        <f>VLOOKUP(_xlfn.CONCAT(H9,I9,J9,K9,L9,M9),'[1]reinf variations'!$H$2:$J$12,2, FALSE)</f>
        <v>3926.9908169872415</v>
      </c>
      <c r="O9" s="14">
        <v>8.0438993994739E-2</v>
      </c>
      <c r="P9" s="12">
        <f>N9*C9/10^6</f>
        <v>9.0320788790706555E-2</v>
      </c>
      <c r="Q9" s="12" t="b">
        <v>1</v>
      </c>
      <c r="R9" s="13">
        <v>10</v>
      </c>
      <c r="S9" s="14" cm="1">
        <f t="array" ref="S9">get_crack_width(D9, E9, F9, G9,H9,J9,K9,M9)</f>
        <v>8.0447157238251979E-2</v>
      </c>
      <c r="T9" s="14"/>
      <c r="U9" s="13">
        <f>VLOOKUP(_xlfn.CONCAT(H9,I9,J9,K9,L9,M9),'[1]reinf variations'!$H$2:$J$12,3, FALSE)</f>
        <v>338</v>
      </c>
    </row>
    <row r="10" spans="1:21" ht="15.75" thickBot="1">
      <c r="A10" s="22" t="s">
        <v>42</v>
      </c>
      <c r="B10" s="82"/>
      <c r="C10" s="83">
        <f>11.75*11.5</f>
        <v>135.125</v>
      </c>
      <c r="D10" s="85"/>
      <c r="E10" s="85"/>
      <c r="F10" s="85"/>
      <c r="G10" s="84"/>
      <c r="H10" s="82"/>
      <c r="I10" s="82"/>
      <c r="J10" s="82"/>
      <c r="K10" s="82"/>
      <c r="L10" s="82"/>
      <c r="M10" s="82"/>
      <c r="N10" s="82"/>
      <c r="O10" s="82"/>
      <c r="P10" s="83">
        <f>SUM(P2:P9)</f>
        <v>0.70244048238859291</v>
      </c>
      <c r="Q10" s="83"/>
      <c r="R10" s="83"/>
      <c r="S10" s="82"/>
      <c r="T10" s="82"/>
      <c r="U10" s="83"/>
    </row>
    <row r="11" spans="1:21" ht="34.5" customHeight="1" thickBot="1">
      <c r="A11" s="79" t="s">
        <v>43</v>
      </c>
      <c r="B11" s="80" t="s">
        <v>16</v>
      </c>
      <c r="C11" s="31" t="s">
        <v>92</v>
      </c>
      <c r="D11" s="91"/>
      <c r="E11" s="91"/>
      <c r="F11" s="91"/>
      <c r="G11" s="31" t="s">
        <v>93</v>
      </c>
      <c r="H11" s="92" t="s">
        <v>94</v>
      </c>
      <c r="I11" s="93"/>
      <c r="J11" s="94"/>
      <c r="K11" s="92" t="s">
        <v>95</v>
      </c>
      <c r="L11" s="93"/>
      <c r="M11" s="94"/>
      <c r="N11" s="31" t="s">
        <v>96</v>
      </c>
      <c r="O11" s="31" t="s">
        <v>22</v>
      </c>
      <c r="P11" s="31" t="s">
        <v>97</v>
      </c>
      <c r="Q11" s="12"/>
      <c r="R11" s="12"/>
      <c r="S11" s="31"/>
      <c r="T11" s="89"/>
      <c r="U11" s="31" t="s">
        <v>24</v>
      </c>
    </row>
    <row r="12" spans="1:21" ht="15.75" thickBot="1">
      <c r="A12" s="10" t="s">
        <v>32</v>
      </c>
      <c r="B12" s="11" t="s">
        <v>33</v>
      </c>
      <c r="C12" s="12">
        <f>$C$16-C14</f>
        <v>68.885000000000005</v>
      </c>
      <c r="D12" s="13">
        <v>75</v>
      </c>
      <c r="E12" s="13">
        <v>65</v>
      </c>
      <c r="F12" s="13">
        <v>65</v>
      </c>
      <c r="G12" s="11">
        <v>290</v>
      </c>
      <c r="H12" s="11">
        <v>25</v>
      </c>
      <c r="I12" s="11" t="s">
        <v>34</v>
      </c>
      <c r="J12" s="11">
        <v>250</v>
      </c>
      <c r="K12" s="11"/>
      <c r="L12" s="11"/>
      <c r="M12" s="11"/>
      <c r="N12" s="13">
        <f>VLOOKUP(_xlfn.CONCAT(H12,I12,J12,K12,L12,M12),'[1]reinf variations'!$H$2:$J$12,2, FALSE)</f>
        <v>1963.4954084936207</v>
      </c>
      <c r="O12" s="14">
        <v>0.29599999999999999</v>
      </c>
      <c r="P12" s="12">
        <f>N12*C12/10^6</f>
        <v>0.13525538121408309</v>
      </c>
      <c r="Q12" s="12" t="s">
        <v>90</v>
      </c>
      <c r="R12" s="12"/>
      <c r="S12" s="14"/>
      <c r="T12" s="14"/>
      <c r="U12" s="13">
        <f>VLOOKUP(_xlfn.CONCAT(H12,I12,J12,K12,L12,M12),'[1]reinf variations'!$H$2:$J$12,3, FALSE)</f>
        <v>265</v>
      </c>
    </row>
    <row r="13" spans="1:21" ht="15.75" thickBot="1">
      <c r="A13" s="10" t="s">
        <v>32</v>
      </c>
      <c r="B13" s="11" t="s">
        <v>36</v>
      </c>
      <c r="C13" s="12">
        <f>$C$16-C15</f>
        <v>111.125</v>
      </c>
      <c r="D13" s="13">
        <v>50</v>
      </c>
      <c r="E13" s="13">
        <v>40</v>
      </c>
      <c r="F13" s="13">
        <v>40</v>
      </c>
      <c r="G13" s="11">
        <v>185</v>
      </c>
      <c r="H13" s="11">
        <v>25</v>
      </c>
      <c r="I13" s="11" t="s">
        <v>34</v>
      </c>
      <c r="J13" s="11">
        <v>250</v>
      </c>
      <c r="K13" s="11"/>
      <c r="L13" s="11"/>
      <c r="M13" s="11"/>
      <c r="N13" s="13">
        <f>VLOOKUP(_xlfn.CONCAT(H13,I13,J13,K13,L13,M13),'[1]reinf variations'!$H$2:$J$12,2, FALSE)</f>
        <v>1963.4954084936207</v>
      </c>
      <c r="O13" s="14">
        <v>0.29399999999999998</v>
      </c>
      <c r="P13" s="12">
        <f>N13*C13/10^6</f>
        <v>0.2181934272688536</v>
      </c>
      <c r="Q13" s="12" t="s">
        <v>90</v>
      </c>
      <c r="R13" s="12"/>
      <c r="S13" s="14"/>
      <c r="T13" s="14"/>
      <c r="U13" s="13">
        <f>VLOOKUP(_xlfn.CONCAT(H13,I13,J13,K13,L13,M13),'[1]reinf variations'!$H$2:$J$12,3, FALSE)</f>
        <v>265</v>
      </c>
    </row>
    <row r="14" spans="1:21" ht="15.75" thickBot="1">
      <c r="A14" s="10" t="s">
        <v>45</v>
      </c>
      <c r="B14" s="11" t="s">
        <v>33</v>
      </c>
      <c r="C14" s="12">
        <f>2*3.6*9.2</f>
        <v>66.239999999999995</v>
      </c>
      <c r="D14" s="13">
        <v>75</v>
      </c>
      <c r="E14" s="13">
        <v>65</v>
      </c>
      <c r="F14" s="13">
        <v>65</v>
      </c>
      <c r="G14" s="11">
        <v>365</v>
      </c>
      <c r="H14" s="11">
        <v>25</v>
      </c>
      <c r="I14" s="11" t="s">
        <v>34</v>
      </c>
      <c r="J14" s="11">
        <v>250</v>
      </c>
      <c r="K14" s="11">
        <v>20</v>
      </c>
      <c r="L14" s="11" t="s">
        <v>34</v>
      </c>
      <c r="M14" s="11">
        <v>250</v>
      </c>
      <c r="N14" s="13">
        <f>VLOOKUP(_xlfn.CONCAT(H14,I14,J14,K14,L14,M14),'[1]reinf variations'!$H$2:$J$12,2, FALSE)</f>
        <v>3220.1324699295383</v>
      </c>
      <c r="O14" s="14">
        <v>0.25363202382298977</v>
      </c>
      <c r="P14" s="12">
        <f>N14*C14/10^6</f>
        <v>0.21330157480813261</v>
      </c>
      <c r="Q14" s="12" t="s">
        <v>90</v>
      </c>
      <c r="R14" s="12"/>
      <c r="S14" s="14"/>
      <c r="T14" s="14"/>
      <c r="U14" s="13">
        <f>VLOOKUP(_xlfn.CONCAT(H14,I14,J14,K14,L14,M14),'[1]reinf variations'!$H$2:$J$12,3, FALSE)</f>
        <v>315</v>
      </c>
    </row>
    <row r="15" spans="1:21" ht="15.75" thickBot="1">
      <c r="A15" s="10" t="s">
        <v>45</v>
      </c>
      <c r="B15" s="11" t="s">
        <v>36</v>
      </c>
      <c r="C15" s="12">
        <f>2*4*3</f>
        <v>24</v>
      </c>
      <c r="D15" s="13">
        <v>50</v>
      </c>
      <c r="E15" s="13">
        <v>40</v>
      </c>
      <c r="F15" s="13">
        <v>40</v>
      </c>
      <c r="G15" s="11">
        <v>365</v>
      </c>
      <c r="H15" s="11">
        <v>25</v>
      </c>
      <c r="I15" s="11" t="s">
        <v>34</v>
      </c>
      <c r="J15" s="11">
        <v>250</v>
      </c>
      <c r="K15" s="11">
        <v>20</v>
      </c>
      <c r="L15" s="11" t="s">
        <v>34</v>
      </c>
      <c r="M15" s="11">
        <v>250</v>
      </c>
      <c r="N15" s="13">
        <f>VLOOKUP(_xlfn.CONCAT(H15,I15,J15,K15,L15,M15),'[1]reinf variations'!$H$2:$J$12,2, FALSE)</f>
        <v>3220.1324699295383</v>
      </c>
      <c r="O15" s="14">
        <v>0.1869183997464518</v>
      </c>
      <c r="P15" s="12">
        <f>N15*C15/10^6</f>
        <v>7.7283179278308925E-2</v>
      </c>
      <c r="Q15" s="12" t="s">
        <v>90</v>
      </c>
      <c r="R15" s="12"/>
      <c r="S15" s="14"/>
      <c r="T15" s="14"/>
      <c r="U15" s="13">
        <f>VLOOKUP(_xlfn.CONCAT(H15,I15,J15,K15,L15,M15),'[1]reinf variations'!$H$2:$J$12,3, FALSE)</f>
        <v>315</v>
      </c>
    </row>
    <row r="16" spans="1:21" ht="15.75" thickBot="1">
      <c r="A16" s="22" t="s">
        <v>42</v>
      </c>
      <c r="B16" s="82"/>
      <c r="C16" s="83">
        <f>11.75*11.5</f>
        <v>135.125</v>
      </c>
      <c r="D16" s="83"/>
      <c r="E16" s="83"/>
      <c r="F16" s="83"/>
      <c r="G16" s="82"/>
      <c r="H16" s="82"/>
      <c r="I16" s="82"/>
      <c r="J16" s="82"/>
      <c r="K16" s="82"/>
      <c r="L16" s="82"/>
      <c r="M16" s="82"/>
      <c r="N16" s="85"/>
      <c r="O16" s="86"/>
      <c r="P16" s="83">
        <f>SUM(P12:P15)</f>
        <v>0.64403356256937827</v>
      </c>
      <c r="Q16" s="83"/>
      <c r="R16" s="83"/>
      <c r="S16" s="86"/>
      <c r="T16" s="86"/>
      <c r="U16" s="85"/>
    </row>
    <row r="17" spans="1:21" ht="35.25" thickBot="1">
      <c r="A17" s="120" t="s">
        <v>46</v>
      </c>
      <c r="B17" s="121" t="s">
        <v>17</v>
      </c>
      <c r="C17" s="120" t="s">
        <v>47</v>
      </c>
      <c r="D17" s="121"/>
      <c r="E17" s="121"/>
      <c r="F17" s="121"/>
      <c r="G17" s="122" t="s">
        <v>48</v>
      </c>
      <c r="H17" s="123" t="s">
        <v>102</v>
      </c>
      <c r="I17" s="124"/>
      <c r="J17" s="129"/>
      <c r="K17" s="123" t="s">
        <v>21</v>
      </c>
      <c r="L17" s="124"/>
      <c r="M17" s="129"/>
      <c r="N17" s="122" t="s">
        <v>101</v>
      </c>
      <c r="O17" s="132"/>
      <c r="P17" s="132"/>
      <c r="Q17" s="132"/>
      <c r="R17" s="132"/>
      <c r="S17" s="132"/>
      <c r="T17" s="136"/>
      <c r="U17" s="27"/>
    </row>
    <row r="18" spans="1:21" ht="16.5" customHeight="1" thickBot="1">
      <c r="A18" s="125" t="s">
        <v>51</v>
      </c>
      <c r="B18" s="126">
        <f>2*11.5</f>
        <v>23</v>
      </c>
      <c r="C18" s="125">
        <v>10</v>
      </c>
      <c r="D18" s="126"/>
      <c r="E18" s="126"/>
      <c r="F18" s="126"/>
      <c r="G18" s="127">
        <v>250</v>
      </c>
      <c r="H18" s="123">
        <v>250</v>
      </c>
      <c r="I18" s="124"/>
      <c r="J18" s="129"/>
      <c r="K18" s="128">
        <f>(1000/G18)*(PI()*C18^2/4)/H18*1000</f>
        <v>1256.6370614359173</v>
      </c>
      <c r="L18" s="134"/>
      <c r="M18" s="135"/>
      <c r="N18" s="130">
        <f>B18*K18/10^6</f>
        <v>2.89026524130261E-2</v>
      </c>
      <c r="O18" s="133"/>
      <c r="P18" s="133"/>
      <c r="Q18" s="133"/>
      <c r="R18" s="133"/>
      <c r="S18" s="133"/>
      <c r="T18" s="133"/>
      <c r="U18" s="27"/>
    </row>
    <row r="19" spans="1:21" ht="16.5" customHeight="1" thickBot="1">
      <c r="A19" s="125" t="s">
        <v>39</v>
      </c>
      <c r="B19" s="126">
        <f>2*11.75</f>
        <v>23.5</v>
      </c>
      <c r="C19" s="125">
        <v>12</v>
      </c>
      <c r="D19" s="126"/>
      <c r="E19" s="126"/>
      <c r="F19" s="126"/>
      <c r="G19" s="127">
        <v>250</v>
      </c>
      <c r="H19" s="123">
        <v>250</v>
      </c>
      <c r="I19" s="124"/>
      <c r="J19" s="129"/>
      <c r="K19" s="128">
        <f>(1000/250)*(PI()*C19^2/4)/250*1000</f>
        <v>1809.5573684677208</v>
      </c>
      <c r="L19" s="134"/>
      <c r="M19" s="135"/>
      <c r="N19" s="130">
        <f>B19*K19/10^6</f>
        <v>4.2524598158991435E-2</v>
      </c>
      <c r="O19" s="133"/>
      <c r="P19" s="133"/>
      <c r="Q19" s="133"/>
      <c r="R19" s="133"/>
      <c r="S19" s="133"/>
      <c r="T19" s="133"/>
      <c r="U19" s="27"/>
    </row>
    <row r="20" spans="1:21" ht="16.5" customHeight="1" thickBot="1">
      <c r="A20" s="125" t="s">
        <v>52</v>
      </c>
      <c r="B20" s="126">
        <f>2*11.75</f>
        <v>23.5</v>
      </c>
      <c r="C20" s="125">
        <v>10</v>
      </c>
      <c r="D20" s="126"/>
      <c r="E20" s="126"/>
      <c r="F20" s="126"/>
      <c r="G20" s="127">
        <v>250</v>
      </c>
      <c r="H20" s="123">
        <v>250</v>
      </c>
      <c r="I20" s="124"/>
      <c r="J20" s="129"/>
      <c r="K20" s="128">
        <f>(1000/G20)*(PI()*C20^2/4)/H20*1000</f>
        <v>1256.6370614359173</v>
      </c>
      <c r="L20" s="134"/>
      <c r="M20" s="135"/>
      <c r="N20" s="130">
        <f>B20*K20/10^6</f>
        <v>2.9530970943744059E-2</v>
      </c>
      <c r="O20" s="133"/>
      <c r="P20" s="133"/>
      <c r="Q20" s="133"/>
      <c r="R20" s="133"/>
      <c r="S20" s="133"/>
      <c r="T20" s="133"/>
      <c r="U20" s="27"/>
    </row>
    <row r="21" spans="1:21" ht="16.5" customHeight="1" thickBot="1">
      <c r="A21" s="125" t="s">
        <v>53</v>
      </c>
      <c r="B21" s="125"/>
      <c r="C21" s="125"/>
      <c r="D21" s="125"/>
      <c r="E21" s="125"/>
      <c r="F21" s="125"/>
      <c r="G21" s="125"/>
      <c r="H21" s="123"/>
      <c r="I21" s="124"/>
      <c r="J21" s="129"/>
      <c r="K21" s="123" t="s">
        <v>100</v>
      </c>
      <c r="L21" s="124"/>
      <c r="M21" s="129"/>
      <c r="N21" s="131">
        <f>SUM(N18:N20)</f>
        <v>0.1009582215157616</v>
      </c>
      <c r="O21" s="133"/>
      <c r="P21" s="133"/>
      <c r="Q21" s="133"/>
      <c r="R21" s="133"/>
      <c r="S21" s="133"/>
      <c r="T21" s="133"/>
      <c r="U21" s="27"/>
    </row>
    <row r="22" spans="1:21" ht="15.75" customHeight="1">
      <c r="A22" s="36" t="s">
        <v>99</v>
      </c>
      <c r="B22" s="36"/>
      <c r="C22" s="36"/>
      <c r="D22" s="36"/>
      <c r="E22" s="36"/>
      <c r="F22" s="36"/>
      <c r="G22" s="36"/>
      <c r="H22" s="36"/>
      <c r="I22" s="36"/>
      <c r="J22" s="36"/>
      <c r="K22" s="119"/>
      <c r="L22" s="119"/>
      <c r="M22" s="119"/>
      <c r="N22" s="119"/>
      <c r="O22" s="133"/>
      <c r="P22" s="133"/>
      <c r="Q22" s="133"/>
      <c r="R22" s="133"/>
      <c r="S22" s="133"/>
      <c r="T22" s="133"/>
      <c r="U22" s="27"/>
    </row>
    <row r="23" spans="1:21" ht="15" customHeight="1">
      <c r="A23" s="88" t="s">
        <v>98</v>
      </c>
      <c r="B23" s="53"/>
      <c r="C23" s="53"/>
      <c r="D23" s="53"/>
      <c r="E23" s="53"/>
      <c r="F23" s="53"/>
      <c r="G23" s="32">
        <f>(P16+P10+N21)/(C16*0.75)</f>
        <v>1.4282402876089872E-2</v>
      </c>
      <c r="H23" s="33"/>
      <c r="I23" s="53"/>
      <c r="J23" s="53"/>
      <c r="K23" s="119"/>
      <c r="L23" s="119"/>
      <c r="M23" s="119"/>
      <c r="N23" s="119"/>
      <c r="O23" s="133"/>
      <c r="P23" s="133"/>
      <c r="Q23" s="133"/>
      <c r="R23" s="133"/>
      <c r="S23" s="133"/>
      <c r="T23" s="133"/>
      <c r="U23" s="34"/>
    </row>
    <row r="24" spans="1:21" ht="15" customHeight="1">
      <c r="A24" s="88" t="s">
        <v>55</v>
      </c>
      <c r="B24" s="53"/>
      <c r="C24" s="53"/>
      <c r="D24" s="53"/>
      <c r="E24" s="53"/>
      <c r="F24" s="53"/>
      <c r="G24" s="32">
        <f>1.3*G23</f>
        <v>1.8567123738916835E-2</v>
      </c>
      <c r="H24" s="33"/>
      <c r="I24" s="53"/>
      <c r="J24" s="53"/>
      <c r="K24" s="119"/>
      <c r="L24" s="119"/>
      <c r="M24" s="119"/>
      <c r="N24" s="119"/>
      <c r="O24" s="133"/>
      <c r="P24" s="133"/>
      <c r="Q24" s="133"/>
      <c r="R24" s="133"/>
      <c r="S24" s="133"/>
      <c r="T24" s="133"/>
      <c r="U24" s="34"/>
    </row>
    <row r="25" spans="1:21">
      <c r="A25" s="88"/>
      <c r="B25" s="37"/>
      <c r="C25" s="37"/>
      <c r="D25" s="37"/>
      <c r="E25" s="37"/>
      <c r="F25" s="37"/>
      <c r="G25" s="36"/>
      <c r="H25" s="36"/>
      <c r="I25" s="37"/>
      <c r="J25" s="37"/>
      <c r="K25" s="37"/>
      <c r="L25" s="37"/>
      <c r="M25" s="37"/>
      <c r="P25" s="34"/>
      <c r="Q25" s="37"/>
      <c r="R25" s="37"/>
      <c r="S25" s="36"/>
      <c r="T25" s="36"/>
      <c r="U25" s="34"/>
    </row>
    <row r="26" spans="1:21">
      <c r="A26" s="88" t="s">
        <v>56</v>
      </c>
      <c r="B26" s="36"/>
      <c r="C26" s="36"/>
      <c r="D26" s="36"/>
      <c r="E26" s="36"/>
      <c r="F26" s="36"/>
      <c r="G26" s="38">
        <f>(P16+P10+N21)</f>
        <v>1.4474322664737329</v>
      </c>
      <c r="H26" s="36" t="s">
        <v>57</v>
      </c>
      <c r="I26" s="36"/>
      <c r="J26" s="36"/>
      <c r="K26" s="36"/>
      <c r="L26" s="36"/>
      <c r="M26" s="36"/>
      <c r="P26" s="34"/>
      <c r="Q26" s="36"/>
      <c r="R26" s="36"/>
      <c r="S26" s="36"/>
      <c r="T26" s="36"/>
      <c r="U26" s="34"/>
    </row>
    <row r="27" spans="1:21">
      <c r="A27" s="88" t="s">
        <v>58</v>
      </c>
      <c r="B27" s="36"/>
      <c r="C27" s="36"/>
      <c r="D27" s="36"/>
      <c r="E27" s="36"/>
      <c r="F27" s="36"/>
      <c r="G27" s="39">
        <f>G26*7850</f>
        <v>11362.343291818803</v>
      </c>
      <c r="H27" s="36" t="s">
        <v>59</v>
      </c>
      <c r="I27" s="36"/>
      <c r="J27" s="36"/>
      <c r="K27" s="36"/>
      <c r="L27" s="36"/>
      <c r="M27" s="36"/>
      <c r="P27" s="34"/>
      <c r="Q27" s="36"/>
      <c r="R27" s="36"/>
      <c r="S27" s="36"/>
      <c r="T27" s="36"/>
      <c r="U27" s="34"/>
    </row>
    <row r="28" spans="1:21">
      <c r="A28" s="41" t="s">
        <v>60</v>
      </c>
      <c r="B28" s="87"/>
      <c r="C28" s="87"/>
      <c r="D28" s="87"/>
      <c r="E28" s="87"/>
      <c r="F28" s="87"/>
      <c r="G28" s="40">
        <f>G27/(C16*0.75)</f>
        <v>112.11686257730548</v>
      </c>
      <c r="H28" s="41" t="s">
        <v>61</v>
      </c>
      <c r="I28" s="87"/>
      <c r="J28" s="87"/>
      <c r="K28" s="87"/>
      <c r="L28" s="87"/>
      <c r="M28" s="87"/>
      <c r="P28" s="34"/>
      <c r="Q28" s="87"/>
      <c r="R28" s="87"/>
      <c r="S28" s="41"/>
      <c r="T28" s="41"/>
      <c r="U28" s="34"/>
    </row>
    <row r="29" spans="1:21">
      <c r="A29" s="41" t="s">
        <v>62</v>
      </c>
      <c r="B29" s="87"/>
      <c r="C29" s="87"/>
      <c r="D29" s="87"/>
      <c r="E29" s="87"/>
      <c r="F29" s="87"/>
      <c r="G29" s="40">
        <f>1.3*G28</f>
        <v>145.75192135049713</v>
      </c>
      <c r="H29" s="41" t="s">
        <v>61</v>
      </c>
      <c r="I29" s="87"/>
      <c r="J29" s="87"/>
      <c r="K29" s="87"/>
      <c r="L29" s="87"/>
      <c r="M29" s="87"/>
      <c r="P29" s="34"/>
      <c r="Q29" s="87"/>
      <c r="R29" s="87"/>
      <c r="S29" s="41"/>
      <c r="T29" s="41"/>
      <c r="U29" s="34"/>
    </row>
  </sheetData>
  <mergeCells count="14">
    <mergeCell ref="K17:M17"/>
    <mergeCell ref="K18:M18"/>
    <mergeCell ref="K19:M19"/>
    <mergeCell ref="K20:M20"/>
    <mergeCell ref="K21:M21"/>
    <mergeCell ref="H17:J17"/>
    <mergeCell ref="H18:J18"/>
    <mergeCell ref="H19:J19"/>
    <mergeCell ref="H20:J20"/>
    <mergeCell ref="H21:J21"/>
    <mergeCell ref="K11:M11"/>
    <mergeCell ref="H11:J11"/>
    <mergeCell ref="H1:J1"/>
    <mergeCell ref="K1:M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27581-EC9C-4036-8D01-462E9F39CA55}">
  <sheetPr codeName="Sheet4"/>
  <dimension ref="A1:X31"/>
  <sheetViews>
    <sheetView zoomScale="115" zoomScaleNormal="115" workbookViewId="0">
      <selection activeCell="D3" sqref="D3"/>
    </sheetView>
  </sheetViews>
  <sheetFormatPr defaultRowHeight="15.75" thickBottom="1"/>
  <cols>
    <col min="1" max="1" width="12.625" style="9" customWidth="1"/>
    <col min="2" max="2" width="11.75" style="9" customWidth="1"/>
    <col min="3" max="3" width="8.25" style="9" customWidth="1"/>
    <col min="4" max="4" width="9.375" style="9" customWidth="1"/>
    <col min="5" max="5" width="2.875" style="9" customWidth="1"/>
    <col min="6" max="6" width="1.875" style="9" bestFit="1" customWidth="1"/>
    <col min="7" max="7" width="3.875" style="9" customWidth="1"/>
    <col min="8" max="8" width="2.375" style="9" bestFit="1" customWidth="1"/>
    <col min="9" max="9" width="2.25" style="9" bestFit="1" customWidth="1"/>
    <col min="10" max="10" width="3.125" style="9" bestFit="1" customWidth="1"/>
    <col min="11" max="11" width="7.375" style="9" customWidth="1"/>
    <col min="12" max="13" width="9.625" style="9" customWidth="1"/>
    <col min="14" max="15" width="11.75" style="9" customWidth="1"/>
    <col min="16" max="16" width="11.75" style="42" customWidth="1"/>
    <col min="17" max="21" width="9" style="9"/>
    <col min="22" max="22" width="17.125" style="9" customWidth="1"/>
    <col min="23" max="16384" width="9" style="9"/>
  </cols>
  <sheetData>
    <row r="1" spans="1:24" ht="27.75" customHeight="1" thickBot="1">
      <c r="A1" s="43" t="s">
        <v>63</v>
      </c>
      <c r="B1" s="44" t="s">
        <v>64</v>
      </c>
      <c r="C1" s="5" t="s">
        <v>17</v>
      </c>
      <c r="D1" s="5" t="s">
        <v>18</v>
      </c>
      <c r="E1" s="95" t="s">
        <v>19</v>
      </c>
      <c r="F1" s="96"/>
      <c r="G1" s="97"/>
      <c r="H1" s="95" t="s">
        <v>20</v>
      </c>
      <c r="I1" s="96"/>
      <c r="J1" s="97"/>
      <c r="K1" s="5" t="s">
        <v>21</v>
      </c>
      <c r="L1" s="5" t="s">
        <v>22</v>
      </c>
      <c r="M1" s="78" t="s">
        <v>88</v>
      </c>
      <c r="N1" s="5" t="s">
        <v>23</v>
      </c>
      <c r="O1" s="5" t="s">
        <v>24</v>
      </c>
      <c r="P1" s="7"/>
      <c r="Q1" s="8"/>
      <c r="R1" s="45" t="s">
        <v>25</v>
      </c>
      <c r="S1" s="45" t="s">
        <v>26</v>
      </c>
      <c r="T1" s="45" t="s">
        <v>27</v>
      </c>
      <c r="U1" s="45" t="s">
        <v>28</v>
      </c>
      <c r="V1" s="45" t="s">
        <v>29</v>
      </c>
      <c r="W1" s="45" t="s">
        <v>30</v>
      </c>
      <c r="X1" s="45" t="s">
        <v>31</v>
      </c>
    </row>
    <row r="2" spans="1:24" thickBot="1">
      <c r="A2" s="46" t="s">
        <v>32</v>
      </c>
      <c r="B2" s="47" t="s">
        <v>33</v>
      </c>
      <c r="C2" s="48">
        <f>C4</f>
        <v>127.09</v>
      </c>
      <c r="D2" s="49">
        <v>290</v>
      </c>
      <c r="E2" s="11">
        <v>25</v>
      </c>
      <c r="F2" s="11" t="s">
        <v>34</v>
      </c>
      <c r="G2" s="11">
        <v>250</v>
      </c>
      <c r="H2" s="11"/>
      <c r="I2" s="11"/>
      <c r="J2" s="11"/>
      <c r="K2" s="13">
        <f>VLOOKUP(_xlfn.CONCAT(E2,F2,G2,H2,I2,J2),'[1]reinf variations'!$H$2:$J$12,2, FALSE)</f>
        <v>1963.4954084936207</v>
      </c>
      <c r="L2" s="14">
        <v>0.29399999999999998</v>
      </c>
      <c r="M2" s="14"/>
      <c r="N2" s="12">
        <f>K2*C2/10^6</f>
        <v>0.24954063146545427</v>
      </c>
      <c r="O2" s="13">
        <f>VLOOKUP(_xlfn.CONCAT(E2,F2,G2,H2,I2,J2),'[1]reinf variations'!$H$2:$J$12,3, FALSE)</f>
        <v>265</v>
      </c>
      <c r="P2" s="15"/>
      <c r="Q2" s="104" t="s">
        <v>44</v>
      </c>
      <c r="R2" s="50" t="s">
        <v>33</v>
      </c>
      <c r="S2" s="50">
        <v>50</v>
      </c>
      <c r="T2" s="50">
        <v>40</v>
      </c>
      <c r="U2" s="50">
        <v>40</v>
      </c>
      <c r="V2" s="50">
        <v>290</v>
      </c>
      <c r="W2" s="50">
        <v>0.29399999999999998</v>
      </c>
      <c r="X2" s="50">
        <v>274</v>
      </c>
    </row>
    <row r="3" spans="1:24" thickBot="1">
      <c r="A3" s="46" t="s">
        <v>32</v>
      </c>
      <c r="B3" s="47" t="s">
        <v>65</v>
      </c>
      <c r="C3" s="48">
        <f>C4</f>
        <v>127.09</v>
      </c>
      <c r="D3" s="17">
        <v>185</v>
      </c>
      <c r="E3" s="11">
        <v>25</v>
      </c>
      <c r="F3" s="11" t="s">
        <v>34</v>
      </c>
      <c r="G3" s="11">
        <v>250</v>
      </c>
      <c r="H3" s="11"/>
      <c r="I3" s="11"/>
      <c r="J3" s="11"/>
      <c r="K3" s="13">
        <v>1963.4954084936207</v>
      </c>
      <c r="L3" s="14">
        <v>0.29599999999999999</v>
      </c>
      <c r="M3" s="14"/>
      <c r="N3" s="12">
        <f t="shared" ref="N3" si="0">K3*C3/10^6</f>
        <v>0.24954063146545427</v>
      </c>
      <c r="O3" s="13">
        <f>VLOOKUP(_xlfn.CONCAT(E3,F3,G3,H3,I3,J3),'[1]reinf variations'!$H$2:$J$12,3, FALSE)</f>
        <v>265</v>
      </c>
      <c r="P3" s="18"/>
      <c r="Q3" s="105"/>
      <c r="R3" s="19" t="s">
        <v>66</v>
      </c>
      <c r="S3" s="19">
        <v>75</v>
      </c>
      <c r="T3" s="19">
        <v>65</v>
      </c>
      <c r="U3" s="19">
        <v>65</v>
      </c>
      <c r="V3" s="19">
        <v>185</v>
      </c>
      <c r="W3" s="20">
        <v>0.29599999999999999</v>
      </c>
      <c r="X3" s="19">
        <v>269</v>
      </c>
    </row>
    <row r="4" spans="1:24" thickBot="1">
      <c r="A4" s="51" t="s">
        <v>42</v>
      </c>
      <c r="B4" s="47"/>
      <c r="C4" s="48">
        <v>127.09</v>
      </c>
      <c r="D4" s="47"/>
      <c r="E4" s="11"/>
      <c r="F4" s="11"/>
      <c r="G4" s="11"/>
      <c r="H4" s="11"/>
      <c r="I4" s="11"/>
      <c r="J4" s="11"/>
      <c r="K4" s="11"/>
      <c r="L4" s="11"/>
      <c r="M4" s="14"/>
      <c r="N4" s="12">
        <f>SUM(N2:N3)</f>
        <v>0.49908126293090854</v>
      </c>
      <c r="O4" s="12"/>
      <c r="P4" s="15"/>
    </row>
    <row r="5" spans="1:24" thickBot="1">
      <c r="A5" s="52"/>
      <c r="B5" s="52"/>
      <c r="C5" s="52"/>
      <c r="D5" s="52"/>
      <c r="E5" s="53"/>
      <c r="F5" s="53"/>
      <c r="G5" s="53"/>
      <c r="H5" s="53"/>
      <c r="I5" s="53"/>
      <c r="J5" s="53"/>
      <c r="K5" s="53"/>
      <c r="L5" s="53"/>
      <c r="M5" s="14"/>
      <c r="N5" s="53"/>
      <c r="O5" s="53"/>
      <c r="P5" s="54"/>
    </row>
    <row r="6" spans="1:24" ht="35.25" customHeight="1" thickBot="1">
      <c r="A6" s="43" t="s">
        <v>67</v>
      </c>
      <c r="B6" s="44" t="s">
        <v>64</v>
      </c>
      <c r="C6" s="55" t="s">
        <v>68</v>
      </c>
      <c r="D6" s="55" t="s">
        <v>69</v>
      </c>
      <c r="E6" s="95" t="s">
        <v>19</v>
      </c>
      <c r="F6" s="96"/>
      <c r="G6" s="97"/>
      <c r="H6" s="95" t="s">
        <v>20</v>
      </c>
      <c r="I6" s="96"/>
      <c r="J6" s="97"/>
      <c r="K6" s="5" t="s">
        <v>21</v>
      </c>
      <c r="L6" s="5" t="s">
        <v>22</v>
      </c>
      <c r="M6" s="14"/>
      <c r="N6" s="5" t="s">
        <v>23</v>
      </c>
      <c r="O6" s="5" t="s">
        <v>24</v>
      </c>
      <c r="P6" s="15"/>
      <c r="Q6" s="8"/>
      <c r="R6" s="8" t="s">
        <v>25</v>
      </c>
      <c r="S6" s="8" t="s">
        <v>26</v>
      </c>
      <c r="T6" s="8" t="s">
        <v>27</v>
      </c>
      <c r="U6" s="8" t="s">
        <v>28</v>
      </c>
      <c r="V6" s="8" t="s">
        <v>29</v>
      </c>
      <c r="W6" s="8" t="s">
        <v>30</v>
      </c>
      <c r="X6" s="8" t="s">
        <v>31</v>
      </c>
    </row>
    <row r="7" spans="1:24" thickBot="1">
      <c r="A7" s="46" t="s">
        <v>70</v>
      </c>
      <c r="B7" s="47" t="s">
        <v>33</v>
      </c>
      <c r="C7" s="48">
        <f>$C$13-C9-C11</f>
        <v>57.496250000000003</v>
      </c>
      <c r="D7" s="49">
        <v>165</v>
      </c>
      <c r="E7" s="11">
        <v>25</v>
      </c>
      <c r="F7" s="11" t="s">
        <v>34</v>
      </c>
      <c r="G7" s="11">
        <v>250</v>
      </c>
      <c r="H7" s="11"/>
      <c r="I7" s="11"/>
      <c r="J7" s="11"/>
      <c r="K7" s="13">
        <f>VLOOKUP(_xlfn.CONCAT(E7,F7,G7,H7,I7,J7),'[1]reinf variations'!$H$2:$J$12,2, FALSE)</f>
        <v>1963.4954084936207</v>
      </c>
      <c r="L7" s="14">
        <v>0.29799999999999999</v>
      </c>
      <c r="M7" s="14"/>
      <c r="N7" s="12">
        <f>K7*C7/10^6</f>
        <v>0.11289362288060135</v>
      </c>
      <c r="O7" s="13">
        <f>VLOOKUP(_xlfn.CONCAT(E7,F7,G7,H7,I7,J7),'[1]reinf variations'!$H$2:$J$12,3, FALSE)</f>
        <v>265</v>
      </c>
      <c r="P7" s="15"/>
      <c r="Q7" s="102" t="s">
        <v>35</v>
      </c>
      <c r="R7" s="50" t="s">
        <v>33</v>
      </c>
      <c r="S7" s="50">
        <v>40</v>
      </c>
      <c r="T7" s="50">
        <v>50</v>
      </c>
      <c r="U7" s="50">
        <v>30</v>
      </c>
      <c r="V7" s="50">
        <v>165</v>
      </c>
      <c r="W7" s="50">
        <v>0.29799999999999999</v>
      </c>
      <c r="X7" s="50">
        <v>276</v>
      </c>
    </row>
    <row r="8" spans="1:24" thickBot="1">
      <c r="A8" s="46" t="s">
        <v>70</v>
      </c>
      <c r="B8" s="47" t="s">
        <v>65</v>
      </c>
      <c r="C8" s="48">
        <f>$C$13-C10-C12</f>
        <v>104.09</v>
      </c>
      <c r="D8" s="17">
        <v>215</v>
      </c>
      <c r="E8" s="11">
        <v>25</v>
      </c>
      <c r="F8" s="11" t="s">
        <v>34</v>
      </c>
      <c r="G8" s="11">
        <v>250</v>
      </c>
      <c r="H8" s="11"/>
      <c r="I8" s="11"/>
      <c r="J8" s="11"/>
      <c r="K8" s="13">
        <f>VLOOKUP(_xlfn.CONCAT(E8,F8,G8,H8,I8,J8),'[1]reinf variations'!$H$2:$J$12,2, FALSE)</f>
        <v>1963.4954084936207</v>
      </c>
      <c r="L8" s="14">
        <v>0.29299999999999998</v>
      </c>
      <c r="M8" s="14"/>
      <c r="N8" s="12">
        <f t="shared" ref="N8:N12" si="1">K8*C8/10^6</f>
        <v>0.204380237070101</v>
      </c>
      <c r="O8" s="13">
        <f>VLOOKUP(_xlfn.CONCAT(E8,F8,G8,H8,I8,J8),'[1]reinf variations'!$H$2:$J$12,3, FALSE)</f>
        <v>265</v>
      </c>
      <c r="P8" s="15"/>
      <c r="Q8" s="103"/>
      <c r="R8" s="19" t="s">
        <v>66</v>
      </c>
      <c r="S8" s="19">
        <v>65</v>
      </c>
      <c r="T8" s="19">
        <v>75</v>
      </c>
      <c r="U8" s="19">
        <v>55</v>
      </c>
      <c r="V8" s="19">
        <v>215</v>
      </c>
      <c r="W8" s="20">
        <v>0.29299999999999998</v>
      </c>
      <c r="X8" s="19">
        <v>271</v>
      </c>
    </row>
    <row r="9" spans="1:24" ht="23.25" thickBot="1">
      <c r="A9" s="46" t="s">
        <v>71</v>
      </c>
      <c r="B9" s="47" t="s">
        <v>33</v>
      </c>
      <c r="C9" s="48">
        <f>16.375*4.25</f>
        <v>69.59375</v>
      </c>
      <c r="D9" s="56">
        <v>745</v>
      </c>
      <c r="E9" s="11">
        <v>20</v>
      </c>
      <c r="F9" s="11" t="s">
        <v>34</v>
      </c>
      <c r="G9" s="11">
        <v>125</v>
      </c>
      <c r="H9" s="11">
        <v>20</v>
      </c>
      <c r="I9" s="11" t="s">
        <v>34</v>
      </c>
      <c r="J9" s="11">
        <v>125</v>
      </c>
      <c r="K9" s="13">
        <f>VLOOKUP(_xlfn.CONCAT(E9,F9,G9,H9,I9,J9),'[1]reinf variations'!$H$2:$J$12,2, FALSE)</f>
        <v>5027</v>
      </c>
      <c r="L9" s="14">
        <v>0.21632065170119524</v>
      </c>
      <c r="M9" s="14"/>
      <c r="N9" s="12">
        <f t="shared" si="1"/>
        <v>0.34984778124999999</v>
      </c>
      <c r="O9" s="13">
        <f>VLOOKUP(_xlfn.CONCAT(E9,F9,G9,H9,I9,J9),'[1]reinf variations'!$H$2:$J$12,3, FALSE)</f>
        <v>365</v>
      </c>
      <c r="P9" s="15"/>
    </row>
    <row r="10" spans="1:24" ht="23.25" thickBot="1">
      <c r="A10" s="46" t="s">
        <v>71</v>
      </c>
      <c r="B10" s="47" t="s">
        <v>65</v>
      </c>
      <c r="C10" s="48">
        <v>0</v>
      </c>
      <c r="D10" s="17">
        <v>0</v>
      </c>
      <c r="E10" s="11"/>
      <c r="F10" s="11"/>
      <c r="G10" s="11"/>
      <c r="H10" s="11"/>
      <c r="I10" s="11"/>
      <c r="J10" s="11"/>
      <c r="K10" s="13"/>
      <c r="L10" s="14"/>
      <c r="M10" s="11"/>
      <c r="N10" s="12">
        <f t="shared" si="1"/>
        <v>0</v>
      </c>
      <c r="O10" s="13"/>
      <c r="P10" s="15"/>
    </row>
    <row r="11" spans="1:24" ht="23.25" thickBot="1">
      <c r="A11" s="46" t="s">
        <v>72</v>
      </c>
      <c r="B11" s="47" t="s">
        <v>33</v>
      </c>
      <c r="C11" s="48">
        <v>0</v>
      </c>
      <c r="D11" s="47">
        <v>0</v>
      </c>
      <c r="E11" s="11"/>
      <c r="F11" s="11"/>
      <c r="G11" s="11"/>
      <c r="H11" s="11"/>
      <c r="I11" s="11"/>
      <c r="J11" s="11"/>
      <c r="K11" s="13"/>
      <c r="L11" s="14"/>
      <c r="M11" s="14"/>
      <c r="N11" s="12">
        <f t="shared" si="1"/>
        <v>0</v>
      </c>
      <c r="O11" s="13"/>
      <c r="P11" s="57"/>
    </row>
    <row r="12" spans="1:24" ht="23.25" thickBot="1">
      <c r="A12" s="46" t="s">
        <v>72</v>
      </c>
      <c r="B12" s="47" t="s">
        <v>65</v>
      </c>
      <c r="C12" s="48">
        <f>2*1*11.5</f>
        <v>23</v>
      </c>
      <c r="D12" s="17">
        <v>340</v>
      </c>
      <c r="E12" s="11">
        <v>25</v>
      </c>
      <c r="F12" s="11" t="s">
        <v>34</v>
      </c>
      <c r="G12" s="11">
        <v>250</v>
      </c>
      <c r="H12" s="11">
        <v>20</v>
      </c>
      <c r="I12" s="11" t="s">
        <v>34</v>
      </c>
      <c r="J12" s="11">
        <v>250</v>
      </c>
      <c r="K12" s="13">
        <f>VLOOKUP(_xlfn.CONCAT(E12,F12,G12,H12,I12,J12),'[1]reinf variations'!$H$2:$J$12,2, FALSE)</f>
        <v>3220.1324699295383</v>
      </c>
      <c r="L12" s="14">
        <v>0.21354127936500758</v>
      </c>
      <c r="M12" s="5"/>
      <c r="N12" s="12">
        <f t="shared" si="1"/>
        <v>7.4063046808379385E-2</v>
      </c>
      <c r="O12" s="13">
        <f>VLOOKUP(_xlfn.CONCAT(E12,F12,G12,H12,I12,J12),'[1]reinf variations'!$H$2:$J$12,3, FALSE)</f>
        <v>315</v>
      </c>
      <c r="P12" s="57"/>
    </row>
    <row r="13" spans="1:24" thickBot="1">
      <c r="A13" s="51" t="s">
        <v>42</v>
      </c>
      <c r="B13" s="47"/>
      <c r="C13" s="48">
        <v>127.09</v>
      </c>
      <c r="D13" s="47"/>
      <c r="E13" s="11"/>
      <c r="F13" s="11"/>
      <c r="G13" s="11"/>
      <c r="H13" s="11"/>
      <c r="I13" s="11"/>
      <c r="J13" s="11"/>
      <c r="K13" s="11"/>
      <c r="L13" s="11"/>
      <c r="M13" s="14"/>
      <c r="N13" s="12">
        <f>SUM(N7:N12)</f>
        <v>0.74118468800908177</v>
      </c>
      <c r="O13" s="12"/>
      <c r="P13" s="25"/>
    </row>
    <row r="14" spans="1:24" thickBot="1">
      <c r="A14" s="99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28"/>
      <c r="P14" s="15"/>
    </row>
    <row r="15" spans="1:24" ht="34.5" thickBot="1">
      <c r="A15" s="27"/>
      <c r="B15" s="4" t="s">
        <v>46</v>
      </c>
      <c r="C15" s="5" t="s">
        <v>17</v>
      </c>
      <c r="D15" s="4" t="s">
        <v>47</v>
      </c>
      <c r="E15" s="95" t="s">
        <v>48</v>
      </c>
      <c r="F15" s="96"/>
      <c r="G15" s="96"/>
      <c r="H15" s="97"/>
      <c r="I15" s="95" t="s">
        <v>49</v>
      </c>
      <c r="J15" s="96"/>
      <c r="K15" s="97"/>
      <c r="L15" s="4" t="s">
        <v>21</v>
      </c>
      <c r="M15" s="14"/>
      <c r="N15" s="4" t="s">
        <v>50</v>
      </c>
      <c r="O15" s="27"/>
      <c r="P15" s="28"/>
      <c r="Q15" s="15"/>
    </row>
    <row r="16" spans="1:24" thickBot="1">
      <c r="A16" s="27"/>
      <c r="B16" s="29" t="s">
        <v>73</v>
      </c>
      <c r="C16" s="30">
        <f>2*10</f>
        <v>20</v>
      </c>
      <c r="D16" s="29">
        <v>12</v>
      </c>
      <c r="E16" s="92">
        <v>250</v>
      </c>
      <c r="F16" s="93"/>
      <c r="G16" s="93"/>
      <c r="H16" s="94"/>
      <c r="I16" s="92">
        <v>250</v>
      </c>
      <c r="J16" s="93"/>
      <c r="K16" s="94"/>
      <c r="L16" s="30">
        <f>(1000/E16)*(PI()*D16^2/4)/I16*1000</f>
        <v>1809.5573684677208</v>
      </c>
      <c r="M16" s="14"/>
      <c r="N16" s="30">
        <f>C16*L16/10^6</f>
        <v>3.6191147369354415E-2</v>
      </c>
      <c r="O16" s="27"/>
      <c r="P16" s="28"/>
      <c r="Q16" s="15"/>
    </row>
    <row r="17" spans="1:17" thickBot="1">
      <c r="A17" s="27"/>
      <c r="B17" s="29" t="s">
        <v>53</v>
      </c>
      <c r="C17" s="29"/>
      <c r="D17" s="29"/>
      <c r="E17" s="92"/>
      <c r="F17" s="93"/>
      <c r="G17" s="93"/>
      <c r="H17" s="94"/>
      <c r="I17" s="92"/>
      <c r="J17" s="93"/>
      <c r="K17" s="94"/>
      <c r="L17" s="30"/>
      <c r="M17" s="14"/>
      <c r="N17" s="30">
        <f>SUM(N16:N16)</f>
        <v>3.6191147369354415E-2</v>
      </c>
      <c r="O17" s="27"/>
      <c r="P17" s="28"/>
      <c r="Q17" s="15"/>
    </row>
    <row r="18" spans="1:17" thickBot="1">
      <c r="A18" s="2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26"/>
      <c r="M18" s="26"/>
      <c r="N18" s="26"/>
      <c r="O18" s="27"/>
      <c r="P18" s="28"/>
      <c r="Q18" s="15"/>
    </row>
    <row r="19" spans="1:17" thickBot="1">
      <c r="A19" s="100" t="s">
        <v>54</v>
      </c>
      <c r="B19" s="100"/>
      <c r="C19" s="100"/>
      <c r="D19" s="100"/>
      <c r="E19" s="100"/>
      <c r="F19" s="100"/>
      <c r="G19" s="100"/>
      <c r="H19" s="100"/>
      <c r="I19" s="100"/>
      <c r="J19" s="100"/>
      <c r="K19" s="32">
        <f>(N13+N4+N17)/(C13*0.75)</f>
        <v>1.339163425718619E-2</v>
      </c>
      <c r="L19" s="33"/>
      <c r="M19" s="4"/>
      <c r="N19" s="34"/>
      <c r="P19" s="15"/>
    </row>
    <row r="20" spans="1:17" thickBot="1">
      <c r="A20" s="100" t="s">
        <v>55</v>
      </c>
      <c r="B20" s="100"/>
      <c r="C20" s="100"/>
      <c r="D20" s="100"/>
      <c r="E20" s="100"/>
      <c r="F20" s="100"/>
      <c r="G20" s="100"/>
      <c r="H20" s="100"/>
      <c r="I20" s="100"/>
      <c r="J20" s="100"/>
      <c r="K20" s="32">
        <f>1.3*K19</f>
        <v>1.7409124534342048E-2</v>
      </c>
      <c r="L20" s="33"/>
      <c r="M20" s="30"/>
      <c r="N20" s="34"/>
      <c r="P20" s="15"/>
    </row>
    <row r="21" spans="1:17" thickBot="1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6"/>
      <c r="L21" s="36"/>
      <c r="M21" s="30"/>
      <c r="N21" s="34"/>
      <c r="P21" s="15"/>
    </row>
    <row r="22" spans="1:17" thickBot="1">
      <c r="A22" s="101" t="s">
        <v>56</v>
      </c>
      <c r="B22" s="101"/>
      <c r="C22" s="101"/>
      <c r="D22" s="101"/>
      <c r="E22" s="101"/>
      <c r="F22" s="101"/>
      <c r="G22" s="101"/>
      <c r="H22" s="101"/>
      <c r="I22" s="101"/>
      <c r="J22" s="101"/>
      <c r="K22" s="38">
        <f>(N13+N4+N17)</f>
        <v>1.2764570983093446</v>
      </c>
      <c r="L22" s="36" t="s">
        <v>57</v>
      </c>
      <c r="M22" s="30"/>
      <c r="N22" s="34"/>
      <c r="P22" s="15"/>
    </row>
    <row r="23" spans="1:17" thickBot="1">
      <c r="A23" s="101" t="s">
        <v>58</v>
      </c>
      <c r="B23" s="101"/>
      <c r="C23" s="101"/>
      <c r="D23" s="101"/>
      <c r="E23" s="101"/>
      <c r="F23" s="101"/>
      <c r="G23" s="101"/>
      <c r="H23" s="101"/>
      <c r="I23" s="101"/>
      <c r="J23" s="101"/>
      <c r="K23" s="39">
        <f>K22*7850</f>
        <v>10020.188221728355</v>
      </c>
      <c r="L23" s="36" t="s">
        <v>59</v>
      </c>
      <c r="M23" s="30"/>
      <c r="N23" s="34"/>
      <c r="P23" s="15"/>
    </row>
    <row r="24" spans="1:17" ht="15">
      <c r="A24" s="98" t="s">
        <v>60</v>
      </c>
      <c r="B24" s="98"/>
      <c r="C24" s="98"/>
      <c r="D24" s="98"/>
      <c r="E24" s="98"/>
      <c r="F24" s="98"/>
      <c r="G24" s="98"/>
      <c r="H24" s="98"/>
      <c r="I24" s="98"/>
      <c r="J24" s="98"/>
      <c r="K24" s="40">
        <f>K23/(C13*0.75)</f>
        <v>105.12432891891159</v>
      </c>
      <c r="L24" s="41" t="s">
        <v>61</v>
      </c>
      <c r="M24" s="41"/>
      <c r="N24" s="34"/>
      <c r="P24" s="15"/>
    </row>
    <row r="25" spans="1:17" ht="15">
      <c r="A25" s="98" t="s">
        <v>62</v>
      </c>
      <c r="B25" s="98"/>
      <c r="C25" s="98"/>
      <c r="D25" s="98"/>
      <c r="E25" s="98"/>
      <c r="F25" s="98"/>
      <c r="G25" s="98"/>
      <c r="H25" s="98"/>
      <c r="I25" s="98"/>
      <c r="J25" s="98"/>
      <c r="K25" s="40">
        <f>1.3*K24</f>
        <v>136.66162759458507</v>
      </c>
      <c r="L25" s="41" t="s">
        <v>61</v>
      </c>
      <c r="M25" s="33"/>
      <c r="N25" s="34"/>
      <c r="P25" s="15"/>
    </row>
    <row r="26" spans="1:17" ht="15">
      <c r="M26" s="33"/>
      <c r="P26" s="15"/>
    </row>
    <row r="27" spans="1:17" ht="15">
      <c r="M27" s="36"/>
      <c r="P27" s="15"/>
    </row>
    <row r="28" spans="1:17" ht="15">
      <c r="M28" s="36"/>
      <c r="P28" s="15"/>
    </row>
    <row r="29" spans="1:17" ht="15">
      <c r="M29" s="36"/>
      <c r="P29" s="15"/>
    </row>
    <row r="30" spans="1:17" ht="15">
      <c r="M30" s="41"/>
      <c r="P30" s="15"/>
    </row>
    <row r="31" spans="1:17" thickBot="1">
      <c r="M31" s="41"/>
      <c r="P31" s="15"/>
    </row>
  </sheetData>
  <mergeCells count="19">
    <mergeCell ref="Q7:Q8"/>
    <mergeCell ref="E1:G1"/>
    <mergeCell ref="H1:J1"/>
    <mergeCell ref="Q2:Q3"/>
    <mergeCell ref="E6:G6"/>
    <mergeCell ref="H6:J6"/>
    <mergeCell ref="A25:J25"/>
    <mergeCell ref="A14:N14"/>
    <mergeCell ref="E15:H15"/>
    <mergeCell ref="I15:K15"/>
    <mergeCell ref="E16:H16"/>
    <mergeCell ref="I16:K16"/>
    <mergeCell ref="E17:H17"/>
    <mergeCell ref="I17:K17"/>
    <mergeCell ref="A19:J19"/>
    <mergeCell ref="A20:J20"/>
    <mergeCell ref="A22:J22"/>
    <mergeCell ref="A23:J23"/>
    <mergeCell ref="A24:J2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C7957-C396-4A6F-B19A-5B0A8D6FD947}">
  <sheetPr codeName="Sheet5"/>
  <dimension ref="A1:X31"/>
  <sheetViews>
    <sheetView zoomScale="130" zoomScaleNormal="130" workbookViewId="0">
      <selection activeCell="M1" sqref="M1:M1048576"/>
    </sheetView>
  </sheetViews>
  <sheetFormatPr defaultRowHeight="15"/>
  <cols>
    <col min="1" max="1" width="14" style="9" bestFit="1" customWidth="1"/>
    <col min="2" max="2" width="9.125" style="9" bestFit="1" customWidth="1"/>
    <col min="3" max="3" width="8" style="9" bestFit="1" customWidth="1"/>
    <col min="4" max="4" width="6.75" style="9" bestFit="1" customWidth="1"/>
    <col min="5" max="5" width="2.375" style="9" bestFit="1" customWidth="1"/>
    <col min="6" max="6" width="1.875" style="9" bestFit="1" customWidth="1"/>
    <col min="7" max="7" width="3.125" style="9" bestFit="1" customWidth="1"/>
    <col min="8" max="8" width="2.375" style="9" bestFit="1" customWidth="1"/>
    <col min="9" max="9" width="2.25" style="9" bestFit="1" customWidth="1"/>
    <col min="10" max="10" width="3.125" style="9" bestFit="1" customWidth="1"/>
    <col min="11" max="11" width="6.875" style="9" bestFit="1" customWidth="1"/>
    <col min="12" max="12" width="9.125" style="9" bestFit="1" customWidth="1"/>
    <col min="13" max="13" width="9.625" style="9" customWidth="1"/>
    <col min="14" max="14" width="9.25" style="9" bestFit="1" customWidth="1"/>
    <col min="15" max="15" width="11.25" style="9" customWidth="1"/>
    <col min="16" max="16" width="6.125" style="9" customWidth="1"/>
    <col min="17" max="21" width="9" style="9"/>
    <col min="22" max="22" width="15" style="9" customWidth="1"/>
    <col min="23" max="16384" width="9" style="9"/>
  </cols>
  <sheetData>
    <row r="1" spans="1:24" ht="34.5" thickBot="1">
      <c r="A1" s="43" t="s">
        <v>15</v>
      </c>
      <c r="B1" s="44" t="s">
        <v>64</v>
      </c>
      <c r="C1" s="5" t="s">
        <v>17</v>
      </c>
      <c r="D1" s="5" t="s">
        <v>18</v>
      </c>
      <c r="E1" s="95" t="s">
        <v>19</v>
      </c>
      <c r="F1" s="96"/>
      <c r="G1" s="97"/>
      <c r="H1" s="95" t="s">
        <v>20</v>
      </c>
      <c r="I1" s="96"/>
      <c r="J1" s="97"/>
      <c r="K1" s="5" t="s">
        <v>21</v>
      </c>
      <c r="L1" s="5" t="s">
        <v>22</v>
      </c>
      <c r="M1" s="78" t="s">
        <v>88</v>
      </c>
      <c r="N1" s="5" t="s">
        <v>23</v>
      </c>
      <c r="O1" s="5" t="s">
        <v>24</v>
      </c>
      <c r="P1" s="59"/>
      <c r="Q1" s="8"/>
      <c r="R1" s="8" t="s">
        <v>25</v>
      </c>
      <c r="S1" s="8" t="s">
        <v>26</v>
      </c>
      <c r="T1" s="8" t="s">
        <v>27</v>
      </c>
      <c r="U1" s="8" t="s">
        <v>28</v>
      </c>
      <c r="V1" s="8" t="s">
        <v>29</v>
      </c>
      <c r="W1" s="8" t="s">
        <v>30</v>
      </c>
      <c r="X1" s="8" t="s">
        <v>31</v>
      </c>
    </row>
    <row r="2" spans="1:24" ht="15.75" thickBot="1">
      <c r="A2" s="46" t="s">
        <v>74</v>
      </c>
      <c r="B2" s="47" t="s">
        <v>75</v>
      </c>
      <c r="C2" s="48">
        <f>C6-C4</f>
        <v>157.16</v>
      </c>
      <c r="D2" s="23">
        <v>180</v>
      </c>
      <c r="E2" s="11">
        <v>25</v>
      </c>
      <c r="F2" s="11" t="s">
        <v>34</v>
      </c>
      <c r="G2" s="11">
        <v>250</v>
      </c>
      <c r="H2" s="11"/>
      <c r="I2" s="11"/>
      <c r="J2" s="11"/>
      <c r="K2" s="13">
        <f>VLOOKUP(_xlfn.CONCAT(E2,F2,G2,H2,I2,J2),'[1]reinf variations'!$H$2:$J$12,2, FALSE)</f>
        <v>1963.4954084936207</v>
      </c>
      <c r="L2" s="60">
        <v>0.29254530098067089</v>
      </c>
      <c r="M2" s="14"/>
      <c r="N2" s="12">
        <f>K2*C2/10^6</f>
        <v>0.30858293839885742</v>
      </c>
      <c r="O2" s="13">
        <f>VLOOKUP(_xlfn.CONCAT(E2,F2,G2,H2,I2,J2),'[1]reinf variations'!$H$2:$J$12,3, FALSE)</f>
        <v>265</v>
      </c>
      <c r="P2" s="26"/>
      <c r="Q2" s="102" t="s">
        <v>35</v>
      </c>
      <c r="R2" s="16" t="s">
        <v>66</v>
      </c>
      <c r="S2" s="16">
        <v>65</v>
      </c>
      <c r="T2" s="16">
        <v>75</v>
      </c>
      <c r="U2" s="16">
        <v>55</v>
      </c>
      <c r="V2" s="16">
        <v>215</v>
      </c>
      <c r="W2" s="16">
        <v>0.29299999999999998</v>
      </c>
      <c r="X2" s="8">
        <v>271</v>
      </c>
    </row>
    <row r="3" spans="1:24" ht="15.75" thickBot="1">
      <c r="A3" s="46" t="s">
        <v>74</v>
      </c>
      <c r="B3" s="47" t="s">
        <v>36</v>
      </c>
      <c r="C3" s="48">
        <f>C6-C5</f>
        <v>161.76999999999998</v>
      </c>
      <c r="D3" s="61">
        <v>280</v>
      </c>
      <c r="E3" s="11">
        <v>25</v>
      </c>
      <c r="F3" s="11" t="s">
        <v>34</v>
      </c>
      <c r="G3" s="11">
        <v>250</v>
      </c>
      <c r="H3" s="11"/>
      <c r="I3" s="11"/>
      <c r="J3" s="11"/>
      <c r="K3" s="13">
        <f>VLOOKUP(_xlfn.CONCAT(E3,F3,G3,H3,I3,J3),'[1]reinf variations'!$H$2:$J$12,2, FALSE)</f>
        <v>1963.4954084936207</v>
      </c>
      <c r="L3" s="60">
        <v>0.2969309936427732</v>
      </c>
      <c r="M3" s="14"/>
      <c r="N3" s="12">
        <f t="shared" ref="N3:N5" si="0">K3*C3/10^6</f>
        <v>0.31763465223201298</v>
      </c>
      <c r="O3" s="13">
        <f>VLOOKUP(_xlfn.CONCAT(E3,F3,G3,H3,I3,J3),'[1]reinf variations'!$H$2:$J$12,3, FALSE)</f>
        <v>265</v>
      </c>
      <c r="P3" s="26"/>
      <c r="Q3" s="103"/>
      <c r="R3" s="19" t="s">
        <v>36</v>
      </c>
      <c r="S3" s="19">
        <v>40</v>
      </c>
      <c r="T3" s="19">
        <v>50</v>
      </c>
      <c r="U3" s="19">
        <v>30</v>
      </c>
      <c r="V3" s="19">
        <v>165</v>
      </c>
      <c r="W3" s="20">
        <v>0.29799999999999999</v>
      </c>
      <c r="X3" s="19">
        <v>276</v>
      </c>
    </row>
    <row r="4" spans="1:24" ht="15.75" thickBot="1">
      <c r="A4" s="46" t="s">
        <v>76</v>
      </c>
      <c r="B4" s="47" t="s">
        <v>75</v>
      </c>
      <c r="C4" s="48">
        <f>3*11.75</f>
        <v>35.25</v>
      </c>
      <c r="D4" s="23">
        <v>530</v>
      </c>
      <c r="E4" s="11">
        <v>20</v>
      </c>
      <c r="F4" s="11" t="s">
        <v>34</v>
      </c>
      <c r="G4" s="11">
        <v>125</v>
      </c>
      <c r="H4" s="11">
        <v>25</v>
      </c>
      <c r="I4" s="11" t="s">
        <v>34</v>
      </c>
      <c r="J4" s="11">
        <v>250</v>
      </c>
      <c r="K4" s="13">
        <f>VLOOKUP(_xlfn.CONCAT(E4,F4,G4,H4,I4,J4),'[1]reinf variations'!$H$2:$J$12,2, FALSE)</f>
        <v>4476.7695313654549</v>
      </c>
      <c r="L4" s="60">
        <v>0.27438171082382895</v>
      </c>
      <c r="M4" s="14"/>
      <c r="N4" s="12">
        <f t="shared" si="0"/>
        <v>0.15780612598063229</v>
      </c>
      <c r="O4" s="13">
        <f>VLOOKUP(_xlfn.CONCAT(E4,F4,G4,H4,I4,J4),'[1]reinf variations'!$H$2:$J$12,3, FALSE)</f>
        <v>352</v>
      </c>
      <c r="P4" s="62"/>
    </row>
    <row r="5" spans="1:24" ht="15.75" thickBot="1">
      <c r="A5" s="46" t="s">
        <v>77</v>
      </c>
      <c r="B5" s="47" t="s">
        <v>36</v>
      </c>
      <c r="C5" s="48">
        <f>2*15.32</f>
        <v>30.64</v>
      </c>
      <c r="D5" s="61">
        <v>670</v>
      </c>
      <c r="E5" s="11">
        <v>20</v>
      </c>
      <c r="F5" s="11" t="s">
        <v>34</v>
      </c>
      <c r="G5" s="11">
        <v>125</v>
      </c>
      <c r="H5" s="11">
        <v>25</v>
      </c>
      <c r="I5" s="11" t="s">
        <v>34</v>
      </c>
      <c r="J5" s="11">
        <v>250</v>
      </c>
      <c r="K5" s="13">
        <f>VLOOKUP(_xlfn.CONCAT(E5,F5,G5,H5,I5,J5),'[1]reinf variations'!$H$2:$J$12,2, FALSE)</f>
        <v>4476.7695313654549</v>
      </c>
      <c r="L5" s="60">
        <v>0.267467972743408</v>
      </c>
      <c r="M5" s="14"/>
      <c r="N5" s="12">
        <f t="shared" si="0"/>
        <v>0.13716821844103755</v>
      </c>
      <c r="O5" s="13">
        <f>VLOOKUP(_xlfn.CONCAT(E5,F5,G5,H5,I5,J5),'[1]reinf variations'!$H$2:$J$12,3, FALSE)</f>
        <v>352</v>
      </c>
      <c r="P5" s="62"/>
    </row>
    <row r="6" spans="1:24" ht="15.75" thickBot="1">
      <c r="A6" s="51" t="s">
        <v>42</v>
      </c>
      <c r="B6" s="47"/>
      <c r="C6" s="48">
        <v>192.41</v>
      </c>
      <c r="D6" s="47"/>
      <c r="E6" s="11"/>
      <c r="F6" s="11"/>
      <c r="G6" s="11"/>
      <c r="H6" s="11"/>
      <c r="I6" s="11"/>
      <c r="J6" s="11"/>
      <c r="K6" s="11"/>
      <c r="L6" s="11"/>
      <c r="M6" s="14"/>
      <c r="N6" s="12">
        <f>SUM(N2:N5)</f>
        <v>0.92119193505254027</v>
      </c>
      <c r="O6" s="5"/>
      <c r="P6" s="63"/>
    </row>
    <row r="7" spans="1:24" ht="15.75" thickBot="1">
      <c r="A7" s="107"/>
      <c r="B7" s="107"/>
      <c r="C7" s="107"/>
      <c r="D7" s="107"/>
      <c r="E7" s="107"/>
      <c r="F7" s="107"/>
      <c r="G7" s="107"/>
      <c r="H7" s="107"/>
      <c r="I7" s="107"/>
      <c r="J7" s="107"/>
      <c r="K7" s="53"/>
      <c r="L7" s="53"/>
      <c r="M7" s="14"/>
      <c r="N7" s="53"/>
      <c r="O7" s="12"/>
      <c r="P7" s="26"/>
    </row>
    <row r="8" spans="1:24" ht="36.75" customHeight="1" thickBot="1">
      <c r="A8" s="43" t="s">
        <v>43</v>
      </c>
      <c r="B8" s="44" t="s">
        <v>64</v>
      </c>
      <c r="C8" s="55" t="s">
        <v>68</v>
      </c>
      <c r="D8" s="55" t="s">
        <v>69</v>
      </c>
      <c r="E8" s="95" t="s">
        <v>19</v>
      </c>
      <c r="F8" s="96"/>
      <c r="G8" s="97"/>
      <c r="H8" s="95" t="s">
        <v>20</v>
      </c>
      <c r="I8" s="96"/>
      <c r="J8" s="97"/>
      <c r="K8" s="5" t="s">
        <v>21</v>
      </c>
      <c r="L8" s="5" t="s">
        <v>22</v>
      </c>
      <c r="M8" s="14"/>
      <c r="N8" s="5" t="s">
        <v>23</v>
      </c>
      <c r="O8" s="5" t="s">
        <v>24</v>
      </c>
      <c r="P8" s="63"/>
      <c r="Q8" s="8"/>
      <c r="R8" s="8" t="s">
        <v>25</v>
      </c>
      <c r="S8" s="8" t="s">
        <v>26</v>
      </c>
      <c r="T8" s="8" t="s">
        <v>27</v>
      </c>
      <c r="U8" s="8" t="s">
        <v>28</v>
      </c>
      <c r="V8" s="8" t="s">
        <v>29</v>
      </c>
      <c r="W8" s="8" t="s">
        <v>30</v>
      </c>
      <c r="X8" s="8" t="s">
        <v>31</v>
      </c>
    </row>
    <row r="9" spans="1:24" ht="15.75" thickBot="1">
      <c r="A9" s="46" t="s">
        <v>70</v>
      </c>
      <c r="B9" s="47" t="s">
        <v>75</v>
      </c>
      <c r="C9" s="48">
        <f>C13-C11</f>
        <v>85.940000000000012</v>
      </c>
      <c r="D9" s="64">
        <v>170</v>
      </c>
      <c r="E9" s="11">
        <v>25</v>
      </c>
      <c r="F9" s="11" t="s">
        <v>34</v>
      </c>
      <c r="G9" s="11">
        <v>250</v>
      </c>
      <c r="H9" s="11"/>
      <c r="I9" s="11"/>
      <c r="J9" s="11"/>
      <c r="K9" s="13">
        <f>VLOOKUP(_xlfn.CONCAT(E9,F9,G9,H9,I9,J9),'[1]reinf variations'!$H$2:$J$12,2, FALSE)</f>
        <v>1963.4954084936207</v>
      </c>
      <c r="L9" s="60">
        <v>0.29592759241088706</v>
      </c>
      <c r="M9" s="14"/>
      <c r="N9" s="12">
        <v>0.19166106667600097</v>
      </c>
      <c r="O9" s="13">
        <f>VLOOKUP(_xlfn.CONCAT(E9,F9,G9,H9,I9,J9),'[1]reinf variations'!$H$2:$J$12,3, FALSE)</f>
        <v>265</v>
      </c>
      <c r="P9" s="62"/>
      <c r="Q9" s="102" t="s">
        <v>44</v>
      </c>
      <c r="R9" s="16" t="s">
        <v>66</v>
      </c>
      <c r="S9" s="16">
        <v>75</v>
      </c>
      <c r="T9" s="16">
        <v>65</v>
      </c>
      <c r="U9" s="16">
        <v>65</v>
      </c>
      <c r="V9" s="16">
        <v>185</v>
      </c>
      <c r="W9" s="16">
        <v>0.29599999999999999</v>
      </c>
      <c r="X9" s="8">
        <v>269</v>
      </c>
    </row>
    <row r="10" spans="1:24" ht="15.75" thickBot="1">
      <c r="A10" s="46" t="s">
        <v>70</v>
      </c>
      <c r="B10" s="47" t="s">
        <v>36</v>
      </c>
      <c r="C10" s="48">
        <f>C13-C12</f>
        <v>73.679999999999993</v>
      </c>
      <c r="D10" s="61">
        <v>230</v>
      </c>
      <c r="E10" s="11">
        <v>25</v>
      </c>
      <c r="F10" s="11" t="s">
        <v>34</v>
      </c>
      <c r="G10" s="11">
        <v>250</v>
      </c>
      <c r="H10" s="11"/>
      <c r="I10" s="11"/>
      <c r="J10" s="11"/>
      <c r="K10" s="13">
        <f>VLOOKUP(_xlfn.CONCAT(E10,F10,G10,H10,I10,J10),'[1]reinf variations'!$H$2:$J$12,2, FALSE)</f>
        <v>1963.4954084936207</v>
      </c>
      <c r="L10" s="60">
        <v>0.29750892782870203</v>
      </c>
      <c r="M10" s="11"/>
      <c r="N10" s="12">
        <f t="shared" ref="N10:N12" si="1">K10*C10/10^6</f>
        <v>0.14467034169780996</v>
      </c>
      <c r="O10" s="13">
        <f>VLOOKUP(_xlfn.CONCAT(E10,F10,G10,H10,I10,J10),'[1]reinf variations'!$H$2:$J$12,3, FALSE)</f>
        <v>265</v>
      </c>
      <c r="P10" s="62"/>
      <c r="Q10" s="103"/>
      <c r="R10" s="19" t="s">
        <v>36</v>
      </c>
      <c r="S10" s="19">
        <v>50</v>
      </c>
      <c r="T10" s="19">
        <v>40</v>
      </c>
      <c r="U10" s="19">
        <v>40</v>
      </c>
      <c r="V10" s="19">
        <v>290</v>
      </c>
      <c r="W10" s="20">
        <v>0.29399999999999998</v>
      </c>
      <c r="X10" s="19">
        <v>274</v>
      </c>
    </row>
    <row r="11" spans="1:24" ht="15.75" thickBot="1">
      <c r="A11" s="46" t="s">
        <v>78</v>
      </c>
      <c r="B11" s="47" t="s">
        <v>75</v>
      </c>
      <c r="C11" s="48">
        <f>2/3*16.38*(11.75-2)</f>
        <v>106.46999999999998</v>
      </c>
      <c r="D11" s="64">
        <v>440</v>
      </c>
      <c r="E11" s="11">
        <v>20</v>
      </c>
      <c r="F11" s="11" t="s">
        <v>34</v>
      </c>
      <c r="G11" s="11">
        <v>125</v>
      </c>
      <c r="H11" s="11">
        <v>25</v>
      </c>
      <c r="I11" s="11" t="s">
        <v>34</v>
      </c>
      <c r="J11" s="11">
        <v>250</v>
      </c>
      <c r="K11" s="13">
        <f>VLOOKUP(_xlfn.CONCAT(E11,F11,G11,H11,I11,J11),'[1]reinf variations'!$H$2:$J$12,2, FALSE)</f>
        <v>4476.7695313654549</v>
      </c>
      <c r="L11" s="60">
        <v>0.23474404504507085</v>
      </c>
      <c r="M11" s="14"/>
      <c r="N11" s="12">
        <f t="shared" si="1"/>
        <v>0.47664165200447989</v>
      </c>
      <c r="O11" s="13">
        <f>VLOOKUP(_xlfn.CONCAT(E11,F11,G11,H11,I11,J11),'[1]reinf variations'!$H$2:$J$12,3, FALSE)</f>
        <v>352</v>
      </c>
      <c r="P11" s="62"/>
    </row>
    <row r="12" spans="1:24" ht="15.75" thickBot="1">
      <c r="A12" s="46" t="s">
        <v>78</v>
      </c>
      <c r="B12" s="47" t="s">
        <v>36</v>
      </c>
      <c r="C12" s="48">
        <f>15.32*(11.75-4)</f>
        <v>118.73</v>
      </c>
      <c r="D12" s="61">
        <v>620</v>
      </c>
      <c r="E12" s="11">
        <v>20</v>
      </c>
      <c r="F12" s="11" t="s">
        <v>34</v>
      </c>
      <c r="G12" s="11">
        <v>125</v>
      </c>
      <c r="H12" s="11">
        <v>25</v>
      </c>
      <c r="I12" s="11" t="s">
        <v>34</v>
      </c>
      <c r="J12" s="11">
        <v>250</v>
      </c>
      <c r="K12" s="13">
        <f>VLOOKUP(_xlfn.CONCAT(E12,F12,G12,H12,I12,J12),'[1]reinf variations'!$H$2:$J$12,2, FALSE)</f>
        <v>4476.7695313654549</v>
      </c>
      <c r="L12" s="60">
        <v>0.28289045799049578</v>
      </c>
      <c r="M12" s="5"/>
      <c r="N12" s="12">
        <f t="shared" si="1"/>
        <v>0.53152684645902049</v>
      </c>
      <c r="O12" s="13">
        <f>VLOOKUP(_xlfn.CONCAT(E12,F12,G12,H12,I12,J12),'[1]reinf variations'!$H$2:$J$12,3, FALSE)</f>
        <v>352</v>
      </c>
      <c r="P12" s="62"/>
    </row>
    <row r="13" spans="1:24" ht="15.75" thickBot="1">
      <c r="A13" s="51" t="s">
        <v>42</v>
      </c>
      <c r="B13" s="47"/>
      <c r="C13" s="48">
        <v>192.41</v>
      </c>
      <c r="D13" s="47"/>
      <c r="E13" s="11"/>
      <c r="F13" s="11"/>
      <c r="G13" s="11"/>
      <c r="H13" s="11"/>
      <c r="I13" s="11"/>
      <c r="J13" s="11"/>
      <c r="K13" s="11"/>
      <c r="L13" s="11"/>
      <c r="M13" s="14"/>
      <c r="N13" s="12">
        <f>SUM(N9:N12)</f>
        <v>1.3444999068373114</v>
      </c>
      <c r="O13" s="12"/>
      <c r="P13" s="26"/>
    </row>
    <row r="14" spans="1:24" ht="15.75" thickBot="1">
      <c r="A14" s="109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26"/>
    </row>
    <row r="15" spans="1:24" ht="45.75" thickBot="1">
      <c r="A15" s="27"/>
      <c r="B15" s="4" t="s">
        <v>46</v>
      </c>
      <c r="C15" s="5" t="s">
        <v>17</v>
      </c>
      <c r="D15" s="4" t="s">
        <v>47</v>
      </c>
      <c r="E15" s="95" t="s">
        <v>48</v>
      </c>
      <c r="F15" s="96"/>
      <c r="G15" s="96"/>
      <c r="H15" s="97"/>
      <c r="I15" s="95" t="s">
        <v>49</v>
      </c>
      <c r="J15" s="96"/>
      <c r="K15" s="97"/>
      <c r="L15" s="4" t="s">
        <v>21</v>
      </c>
      <c r="M15" s="14"/>
      <c r="N15" s="4" t="s">
        <v>50</v>
      </c>
      <c r="O15" s="27"/>
      <c r="P15" s="28"/>
      <c r="Q15" s="15"/>
    </row>
    <row r="16" spans="1:24" ht="15.75" thickBot="1">
      <c r="A16" s="27"/>
      <c r="B16" s="29" t="s">
        <v>79</v>
      </c>
      <c r="C16" s="30">
        <f>3.8*11.75</f>
        <v>44.65</v>
      </c>
      <c r="D16" s="29">
        <v>12</v>
      </c>
      <c r="E16" s="92">
        <v>250</v>
      </c>
      <c r="F16" s="93"/>
      <c r="G16" s="93"/>
      <c r="H16" s="94"/>
      <c r="I16" s="92">
        <v>250</v>
      </c>
      <c r="J16" s="93"/>
      <c r="K16" s="94"/>
      <c r="L16" s="30">
        <f>(1000/E16)*(PI()*D16^2/4)/I16*1000</f>
        <v>1809.5573684677208</v>
      </c>
      <c r="M16" s="14"/>
      <c r="N16" s="30">
        <f>C16*L16/10^6</f>
        <v>8.079673650208373E-2</v>
      </c>
      <c r="O16" s="27"/>
      <c r="P16" s="28"/>
      <c r="Q16" s="15"/>
    </row>
    <row r="17" spans="1:17" ht="23.25" thickBot="1">
      <c r="A17" s="27"/>
      <c r="B17" s="29" t="s">
        <v>80</v>
      </c>
      <c r="C17" s="30">
        <f>4*16.375</f>
        <v>65.5</v>
      </c>
      <c r="D17" s="29">
        <v>12</v>
      </c>
      <c r="E17" s="92">
        <v>250</v>
      </c>
      <c r="F17" s="93"/>
      <c r="G17" s="93"/>
      <c r="H17" s="94"/>
      <c r="I17" s="92">
        <v>250</v>
      </c>
      <c r="J17" s="93"/>
      <c r="K17" s="94"/>
      <c r="L17" s="30">
        <f t="shared" ref="L17" si="2">(1000/E17)*(PI()*D17^2/4)/I17*1000</f>
        <v>1809.5573684677208</v>
      </c>
      <c r="M17" s="14"/>
      <c r="N17" s="30">
        <f t="shared" ref="N17" si="3">C17*L17/10^6</f>
        <v>0.11852600763463571</v>
      </c>
      <c r="O17" s="27"/>
      <c r="P17" s="28"/>
      <c r="Q17" s="15"/>
    </row>
    <row r="18" spans="1:17" ht="15.75" thickBot="1">
      <c r="A18" s="27"/>
      <c r="B18" s="29" t="s">
        <v>53</v>
      </c>
      <c r="C18" s="29"/>
      <c r="D18" s="29"/>
      <c r="E18" s="92"/>
      <c r="F18" s="93"/>
      <c r="G18" s="93"/>
      <c r="H18" s="94"/>
      <c r="I18" s="92"/>
      <c r="J18" s="93"/>
      <c r="K18" s="94"/>
      <c r="L18" s="30"/>
      <c r="M18" s="26"/>
      <c r="N18" s="30">
        <f>SUM(N16:N17)</f>
        <v>0.19932274413671944</v>
      </c>
      <c r="O18" s="27"/>
      <c r="P18" s="28"/>
      <c r="Q18" s="15"/>
    </row>
    <row r="19" spans="1:17" ht="15.75" thickBot="1">
      <c r="A19" s="106"/>
      <c r="B19" s="107"/>
      <c r="C19" s="107"/>
      <c r="D19" s="107"/>
      <c r="E19" s="107"/>
      <c r="F19" s="107"/>
      <c r="G19" s="107"/>
      <c r="H19" s="107"/>
      <c r="I19" s="107"/>
      <c r="J19" s="107"/>
      <c r="M19" s="4"/>
    </row>
    <row r="20" spans="1:17" ht="15" customHeight="1" thickBot="1">
      <c r="A20" s="108" t="s">
        <v>54</v>
      </c>
      <c r="B20" s="108"/>
      <c r="C20" s="108"/>
      <c r="D20" s="108"/>
      <c r="E20" s="108"/>
      <c r="F20" s="108"/>
      <c r="G20" s="108"/>
      <c r="H20" s="108"/>
      <c r="I20" s="108"/>
      <c r="J20" s="108"/>
      <c r="K20" s="65">
        <f>(N13+N6+N18)/(C13*0.75)</f>
        <v>1.7081680342508676E-2</v>
      </c>
      <c r="L20" s="66"/>
      <c r="M20" s="30"/>
    </row>
    <row r="21" spans="1:17" ht="15.75" thickBot="1">
      <c r="A21" s="98" t="s">
        <v>55</v>
      </c>
      <c r="B21" s="98"/>
      <c r="C21" s="98"/>
      <c r="D21" s="98"/>
      <c r="E21" s="98"/>
      <c r="F21" s="98"/>
      <c r="G21" s="98"/>
      <c r="H21" s="98"/>
      <c r="I21" s="98"/>
      <c r="J21" s="98"/>
      <c r="K21" s="65">
        <f>1.3*K20</f>
        <v>2.220618444526128E-2</v>
      </c>
      <c r="L21" s="66"/>
      <c r="M21" s="30"/>
    </row>
    <row r="22" spans="1:17" ht="15.75" thickBot="1">
      <c r="A22" s="98"/>
      <c r="B22" s="98"/>
      <c r="C22" s="98"/>
      <c r="D22" s="98"/>
      <c r="E22" s="98"/>
      <c r="F22" s="98"/>
      <c r="G22" s="98"/>
      <c r="H22" s="98"/>
      <c r="I22" s="98"/>
      <c r="J22" s="98"/>
      <c r="K22" s="27"/>
      <c r="L22" s="27"/>
      <c r="M22" s="30"/>
    </row>
    <row r="23" spans="1:17" ht="15.75" thickBot="1">
      <c r="A23" s="98" t="s">
        <v>56</v>
      </c>
      <c r="B23" s="98"/>
      <c r="C23" s="98"/>
      <c r="D23" s="98"/>
      <c r="E23" s="98"/>
      <c r="F23" s="98"/>
      <c r="G23" s="98"/>
      <c r="H23" s="98"/>
      <c r="I23" s="98"/>
      <c r="J23" s="98"/>
      <c r="K23" s="67">
        <f>(N13+N6+N18)</f>
        <v>2.4650145860265709</v>
      </c>
      <c r="L23" s="27" t="s">
        <v>57</v>
      </c>
      <c r="M23" s="30"/>
      <c r="N23" s="68"/>
    </row>
    <row r="24" spans="1:17">
      <c r="A24" s="101" t="s">
        <v>58</v>
      </c>
      <c r="B24" s="101"/>
      <c r="C24" s="101"/>
      <c r="D24" s="101"/>
      <c r="E24" s="101"/>
      <c r="F24" s="101"/>
      <c r="G24" s="101"/>
      <c r="H24" s="101"/>
      <c r="I24" s="101"/>
      <c r="J24" s="101"/>
      <c r="K24" s="69">
        <f>K23*7850</f>
        <v>19350.36450030858</v>
      </c>
      <c r="L24" s="27" t="s">
        <v>59</v>
      </c>
      <c r="M24" s="41"/>
      <c r="N24" s="68"/>
    </row>
    <row r="25" spans="1:17">
      <c r="A25" s="98" t="s">
        <v>60</v>
      </c>
      <c r="B25" s="98"/>
      <c r="C25" s="98"/>
      <c r="D25" s="98"/>
      <c r="E25" s="98"/>
      <c r="F25" s="98"/>
      <c r="G25" s="98"/>
      <c r="H25" s="98"/>
      <c r="I25" s="98"/>
      <c r="J25" s="98"/>
      <c r="K25" s="70">
        <f>K24/(C13*0.75)</f>
        <v>134.0911906886931</v>
      </c>
      <c r="L25" s="71" t="s">
        <v>61</v>
      </c>
      <c r="M25" s="33"/>
      <c r="N25" s="68"/>
    </row>
    <row r="26" spans="1:17">
      <c r="A26" s="98" t="s">
        <v>62</v>
      </c>
      <c r="B26" s="98"/>
      <c r="C26" s="98"/>
      <c r="D26" s="98"/>
      <c r="E26" s="98"/>
      <c r="F26" s="98"/>
      <c r="G26" s="98"/>
      <c r="H26" s="98"/>
      <c r="I26" s="98"/>
      <c r="J26" s="98"/>
      <c r="K26" s="70">
        <f>1.3*K25</f>
        <v>174.31854789530104</v>
      </c>
      <c r="L26" s="71" t="s">
        <v>61</v>
      </c>
      <c r="M26" s="33"/>
      <c r="N26" s="68"/>
    </row>
    <row r="27" spans="1:17">
      <c r="M27" s="36"/>
    </row>
    <row r="28" spans="1:17">
      <c r="M28" s="36"/>
    </row>
    <row r="29" spans="1:17">
      <c r="M29" s="36"/>
    </row>
    <row r="30" spans="1:17">
      <c r="M30" s="41"/>
    </row>
    <row r="31" spans="1:17">
      <c r="M31" s="41"/>
    </row>
  </sheetData>
  <mergeCells count="24">
    <mergeCell ref="E1:G1"/>
    <mergeCell ref="H1:J1"/>
    <mergeCell ref="Q2:Q3"/>
    <mergeCell ref="A7:J7"/>
    <mergeCell ref="E8:G8"/>
    <mergeCell ref="H8:J8"/>
    <mergeCell ref="Q9:Q10"/>
    <mergeCell ref="A14:O14"/>
    <mergeCell ref="E15:H15"/>
    <mergeCell ref="I15:K15"/>
    <mergeCell ref="E16:H16"/>
    <mergeCell ref="I16:K16"/>
    <mergeCell ref="A26:J26"/>
    <mergeCell ref="E17:H17"/>
    <mergeCell ref="I17:K17"/>
    <mergeCell ref="E18:H18"/>
    <mergeCell ref="I18:K18"/>
    <mergeCell ref="A19:J19"/>
    <mergeCell ref="A20:J20"/>
    <mergeCell ref="A21:J21"/>
    <mergeCell ref="A22:J22"/>
    <mergeCell ref="A23:J23"/>
    <mergeCell ref="A24:J24"/>
    <mergeCell ref="A25:J2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5478B-D23E-4DAD-9D3E-5FAEC3BF9E81}">
  <sheetPr codeName="Sheet6"/>
  <dimension ref="A1:X31"/>
  <sheetViews>
    <sheetView zoomScale="130" zoomScaleNormal="130" workbookViewId="0">
      <selection activeCell="M1" sqref="M1:M1048576"/>
    </sheetView>
  </sheetViews>
  <sheetFormatPr defaultRowHeight="15"/>
  <cols>
    <col min="1" max="1" width="13.875" style="9" bestFit="1" customWidth="1"/>
    <col min="2" max="2" width="9.125" style="9" bestFit="1" customWidth="1"/>
    <col min="3" max="3" width="8" style="9" bestFit="1" customWidth="1"/>
    <col min="4" max="4" width="6.75" style="9" bestFit="1" customWidth="1"/>
    <col min="5" max="5" width="2.375" style="9" bestFit="1" customWidth="1"/>
    <col min="6" max="6" width="1.875" style="9" bestFit="1" customWidth="1"/>
    <col min="7" max="7" width="3.125" style="9" bestFit="1" customWidth="1"/>
    <col min="8" max="8" width="2.375" style="9" bestFit="1" customWidth="1"/>
    <col min="9" max="9" width="2.25" style="9" bestFit="1" customWidth="1"/>
    <col min="10" max="10" width="3.125" style="9" bestFit="1" customWidth="1"/>
    <col min="11" max="11" width="6.875" style="9" bestFit="1" customWidth="1"/>
    <col min="12" max="12" width="9.125" style="9" bestFit="1" customWidth="1"/>
    <col min="13" max="13" width="9.625" style="9" customWidth="1"/>
    <col min="14" max="14" width="9.25" style="9" bestFit="1" customWidth="1"/>
    <col min="15" max="15" width="11.125" style="9" customWidth="1"/>
    <col min="16" max="21" width="9" style="9"/>
    <col min="22" max="22" width="15.375" style="9" customWidth="1"/>
    <col min="23" max="16384" width="9" style="9"/>
  </cols>
  <sheetData>
    <row r="1" spans="1:24" ht="34.5" thickBot="1">
      <c r="A1" s="43" t="s">
        <v>63</v>
      </c>
      <c r="B1" s="44" t="s">
        <v>64</v>
      </c>
      <c r="C1" s="5" t="s">
        <v>17</v>
      </c>
      <c r="D1" s="5" t="s">
        <v>18</v>
      </c>
      <c r="E1" s="95" t="s">
        <v>19</v>
      </c>
      <c r="F1" s="96"/>
      <c r="G1" s="97"/>
      <c r="H1" s="95" t="s">
        <v>20</v>
      </c>
      <c r="I1" s="96"/>
      <c r="J1" s="97"/>
      <c r="K1" s="5" t="s">
        <v>21</v>
      </c>
      <c r="L1" s="5" t="s">
        <v>22</v>
      </c>
      <c r="M1" s="78" t="s">
        <v>88</v>
      </c>
      <c r="N1" s="5" t="s">
        <v>23</v>
      </c>
      <c r="O1" s="5" t="s">
        <v>24</v>
      </c>
      <c r="Q1" s="8"/>
      <c r="R1" s="8" t="s">
        <v>25</v>
      </c>
      <c r="S1" s="8" t="s">
        <v>26</v>
      </c>
      <c r="T1" s="8" t="s">
        <v>27</v>
      </c>
      <c r="U1" s="8" t="s">
        <v>28</v>
      </c>
      <c r="V1" s="8" t="s">
        <v>29</v>
      </c>
      <c r="W1" s="8" t="s">
        <v>30</v>
      </c>
      <c r="X1" s="8" t="s">
        <v>31</v>
      </c>
    </row>
    <row r="2" spans="1:24" ht="15.75" thickBot="1">
      <c r="A2" s="46" t="s">
        <v>74</v>
      </c>
      <c r="B2" s="47" t="s">
        <v>75</v>
      </c>
      <c r="C2" s="48">
        <f>C4</f>
        <v>58.75</v>
      </c>
      <c r="D2" s="72">
        <v>185</v>
      </c>
      <c r="E2" s="11">
        <v>25</v>
      </c>
      <c r="F2" s="11" t="s">
        <v>34</v>
      </c>
      <c r="G2" s="11">
        <v>250</v>
      </c>
      <c r="H2" s="11"/>
      <c r="I2" s="11"/>
      <c r="J2" s="11"/>
      <c r="K2" s="13">
        <f>VLOOKUP(_xlfn.CONCAT(E2,F2,G2,H2,I2,J2),'[1]reinf variations'!$H$2:$J$12,2, FALSE)</f>
        <v>1963.4954084936207</v>
      </c>
      <c r="L2" s="14">
        <v>0.29599999999999999</v>
      </c>
      <c r="M2" s="14"/>
      <c r="N2" s="12">
        <f>K2*C2/10^6</f>
        <v>0.11535535524900022</v>
      </c>
      <c r="O2" s="13">
        <f>VLOOKUP(_xlfn.CONCAT(E2,F2,G2,H2,I2,J2),'[1]reinf variations'!$H$2:$J$12,3, FALSE)</f>
        <v>265</v>
      </c>
      <c r="Q2" s="110" t="s">
        <v>44</v>
      </c>
      <c r="R2" s="16" t="s">
        <v>66</v>
      </c>
      <c r="S2" s="16">
        <v>75</v>
      </c>
      <c r="T2" s="16">
        <v>65</v>
      </c>
      <c r="U2" s="16">
        <v>65</v>
      </c>
      <c r="V2" s="16">
        <v>185</v>
      </c>
      <c r="W2" s="16">
        <v>0.29599999999999999</v>
      </c>
      <c r="X2" s="8">
        <v>269</v>
      </c>
    </row>
    <row r="3" spans="1:24" ht="15.75" thickBot="1">
      <c r="A3" s="46" t="s">
        <v>74</v>
      </c>
      <c r="B3" s="47" t="s">
        <v>36</v>
      </c>
      <c r="C3" s="48">
        <f>C4</f>
        <v>58.75</v>
      </c>
      <c r="D3" s="17">
        <v>290</v>
      </c>
      <c r="E3" s="11">
        <v>25</v>
      </c>
      <c r="F3" s="11" t="s">
        <v>34</v>
      </c>
      <c r="G3" s="11">
        <v>250</v>
      </c>
      <c r="H3" s="11"/>
      <c r="I3" s="11"/>
      <c r="J3" s="11"/>
      <c r="K3" s="13">
        <f>VLOOKUP(_xlfn.CONCAT(E3,F3,G3,H3,I3,J3),'[1]reinf variations'!$H$2:$J$12,2, FALSE)</f>
        <v>1963.4954084936207</v>
      </c>
      <c r="L3" s="14">
        <v>0.29399999999999998</v>
      </c>
      <c r="M3" s="14"/>
      <c r="N3" s="12">
        <f>K3*C3/10^6</f>
        <v>0.11535535524900022</v>
      </c>
      <c r="O3" s="12"/>
      <c r="Q3" s="111"/>
      <c r="R3" s="19" t="s">
        <v>36</v>
      </c>
      <c r="S3" s="19">
        <v>50</v>
      </c>
      <c r="T3" s="19">
        <v>40</v>
      </c>
      <c r="U3" s="19">
        <v>40</v>
      </c>
      <c r="V3" s="19">
        <v>290</v>
      </c>
      <c r="W3" s="20">
        <v>0.29399999999999998</v>
      </c>
      <c r="X3" s="19">
        <v>274</v>
      </c>
    </row>
    <row r="4" spans="1:24" ht="15.75" thickBot="1">
      <c r="A4" s="51" t="s">
        <v>42</v>
      </c>
      <c r="B4" s="47"/>
      <c r="C4" s="48">
        <v>58.75</v>
      </c>
      <c r="D4" s="47"/>
      <c r="E4" s="11"/>
      <c r="F4" s="11"/>
      <c r="G4" s="11"/>
      <c r="H4" s="11"/>
      <c r="I4" s="11"/>
      <c r="J4" s="11"/>
      <c r="K4" s="11"/>
      <c r="L4" s="11"/>
      <c r="M4" s="14"/>
      <c r="N4" s="12">
        <f>SUM(N2:N3)</f>
        <v>0.23071071049800043</v>
      </c>
      <c r="O4" s="5"/>
    </row>
    <row r="5" spans="1:24" ht="15.75" thickBot="1">
      <c r="A5" s="107"/>
      <c r="B5" s="107"/>
      <c r="C5" s="107"/>
      <c r="D5" s="107"/>
      <c r="E5" s="107"/>
      <c r="F5" s="107"/>
      <c r="G5" s="107"/>
      <c r="H5" s="107"/>
      <c r="I5" s="107"/>
      <c r="J5" s="107"/>
      <c r="K5" s="53"/>
      <c r="L5" s="53"/>
      <c r="M5" s="14"/>
      <c r="N5" s="53"/>
      <c r="O5" s="12"/>
      <c r="P5" s="25"/>
    </row>
    <row r="6" spans="1:24" ht="34.5" thickBot="1">
      <c r="A6" s="43" t="s">
        <v>67</v>
      </c>
      <c r="B6" s="44" t="s">
        <v>64</v>
      </c>
      <c r="C6" s="55" t="s">
        <v>68</v>
      </c>
      <c r="D6" s="55" t="s">
        <v>69</v>
      </c>
      <c r="E6" s="95" t="s">
        <v>19</v>
      </c>
      <c r="F6" s="96"/>
      <c r="G6" s="97"/>
      <c r="H6" s="95" t="s">
        <v>20</v>
      </c>
      <c r="I6" s="96"/>
      <c r="J6" s="97"/>
      <c r="K6" s="5" t="s">
        <v>21</v>
      </c>
      <c r="L6" s="5" t="s">
        <v>22</v>
      </c>
      <c r="M6" s="14"/>
      <c r="N6" s="5" t="s">
        <v>23</v>
      </c>
      <c r="O6" s="5" t="s">
        <v>24</v>
      </c>
      <c r="Q6" s="8"/>
      <c r="R6" s="8" t="s">
        <v>25</v>
      </c>
      <c r="S6" s="8" t="s">
        <v>26</v>
      </c>
      <c r="T6" s="8" t="s">
        <v>27</v>
      </c>
      <c r="U6" s="8" t="s">
        <v>28</v>
      </c>
      <c r="V6" s="8" t="s">
        <v>29</v>
      </c>
      <c r="W6" s="8" t="s">
        <v>30</v>
      </c>
      <c r="X6" s="8" t="s">
        <v>31</v>
      </c>
    </row>
    <row r="7" spans="1:24" ht="15.75" thickBot="1">
      <c r="A7" s="46" t="s">
        <v>81</v>
      </c>
      <c r="B7" s="47" t="s">
        <v>75</v>
      </c>
      <c r="C7" s="48">
        <f>C10-C9</f>
        <v>35.25</v>
      </c>
      <c r="D7" s="72">
        <v>215</v>
      </c>
      <c r="E7" s="11">
        <v>25</v>
      </c>
      <c r="F7" s="11" t="s">
        <v>34</v>
      </c>
      <c r="G7" s="11">
        <v>250</v>
      </c>
      <c r="H7" s="11"/>
      <c r="I7" s="11"/>
      <c r="J7" s="11"/>
      <c r="K7" s="13">
        <f>VLOOKUP(_xlfn.CONCAT(E7,F7,G7,H7,I7,J7),'[1]reinf variations'!$H$2:$J$12,2, FALSE)</f>
        <v>1963.4954084936207</v>
      </c>
      <c r="L7" s="14">
        <v>0.29299999999999998</v>
      </c>
      <c r="M7" s="14"/>
      <c r="N7" s="12">
        <f>K7*C7/10^6</f>
        <v>6.9213213149400141E-2</v>
      </c>
      <c r="O7" s="13">
        <f>VLOOKUP(_xlfn.CONCAT(E7,F7,G7,H7,I7,J7),'[1]reinf variations'!$H$2:$J$12,3, FALSE)</f>
        <v>265</v>
      </c>
      <c r="Q7" s="110" t="s">
        <v>35</v>
      </c>
      <c r="R7" s="16" t="s">
        <v>66</v>
      </c>
      <c r="S7" s="16">
        <v>65</v>
      </c>
      <c r="T7" s="16">
        <v>75</v>
      </c>
      <c r="U7" s="16">
        <v>55</v>
      </c>
      <c r="V7" s="16">
        <v>215</v>
      </c>
      <c r="W7" s="16">
        <v>0.29299999999999998</v>
      </c>
      <c r="X7" s="8">
        <v>271</v>
      </c>
    </row>
    <row r="8" spans="1:24" ht="15.75" thickBot="1">
      <c r="A8" s="46" t="s">
        <v>70</v>
      </c>
      <c r="B8" s="47" t="s">
        <v>36</v>
      </c>
      <c r="C8" s="48">
        <f>C10</f>
        <v>58.75</v>
      </c>
      <c r="D8" s="17">
        <v>165</v>
      </c>
      <c r="E8" s="11">
        <v>25</v>
      </c>
      <c r="F8" s="11" t="s">
        <v>34</v>
      </c>
      <c r="G8" s="11">
        <v>250</v>
      </c>
      <c r="H8" s="11"/>
      <c r="I8" s="11"/>
      <c r="J8" s="11"/>
      <c r="K8" s="13">
        <f>VLOOKUP(_xlfn.CONCAT(E8,F8,G8,H8,I8,J8),'[1]reinf variations'!$H$2:$J$12,2, FALSE)</f>
        <v>1963.4954084936207</v>
      </c>
      <c r="L8" s="14">
        <v>0.29799999999999999</v>
      </c>
      <c r="M8" s="14"/>
      <c r="N8" s="12">
        <f t="shared" ref="N8:N9" si="0">K8*C8/10^6</f>
        <v>0.11535535524900022</v>
      </c>
      <c r="O8" s="13">
        <f>VLOOKUP(_xlfn.CONCAT(E8,F8,G8,H8,I8,J8),'[1]reinf variations'!$H$2:$J$12,3, FALSE)</f>
        <v>265</v>
      </c>
      <c r="Q8" s="111"/>
      <c r="R8" s="19" t="s">
        <v>36</v>
      </c>
      <c r="S8" s="19">
        <v>40</v>
      </c>
      <c r="T8" s="19">
        <v>50</v>
      </c>
      <c r="U8" s="19">
        <v>30</v>
      </c>
      <c r="V8" s="19">
        <v>165</v>
      </c>
      <c r="W8" s="20">
        <v>0.29799999999999999</v>
      </c>
      <c r="X8" s="19">
        <v>276</v>
      </c>
    </row>
    <row r="9" spans="1:24" ht="15.75" thickBot="1">
      <c r="A9" s="46" t="s">
        <v>41</v>
      </c>
      <c r="B9" s="47" t="s">
        <v>75</v>
      </c>
      <c r="C9" s="48">
        <f>2*1*11.75</f>
        <v>23.5</v>
      </c>
      <c r="D9" s="47">
        <v>310</v>
      </c>
      <c r="E9" s="11">
        <v>20</v>
      </c>
      <c r="F9" s="11" t="s">
        <v>34</v>
      </c>
      <c r="G9" s="11">
        <v>125</v>
      </c>
      <c r="H9" s="11"/>
      <c r="I9" s="11"/>
      <c r="J9" s="11"/>
      <c r="K9" s="13">
        <f>VLOOKUP(_xlfn.CONCAT(E9,F9,G9,H9,I9,J9),'[1]reinf variations'!$H$2:$J$12,2, FALSE)</f>
        <v>2513.2741228718346</v>
      </c>
      <c r="L9" s="14">
        <v>0.24495201448363507</v>
      </c>
      <c r="M9" s="14"/>
      <c r="N9" s="12">
        <f t="shared" si="0"/>
        <v>5.9061941887488117E-2</v>
      </c>
      <c r="O9" s="13">
        <f>VLOOKUP(_xlfn.CONCAT(E9,F9,G9,H9,I9,J9),'[1]reinf variations'!$H$2:$J$12,3, FALSE)</f>
        <v>292</v>
      </c>
    </row>
    <row r="10" spans="1:24" ht="15.75" thickBot="1">
      <c r="A10" s="51" t="s">
        <v>42</v>
      </c>
      <c r="B10" s="47"/>
      <c r="C10" s="48">
        <v>58.75</v>
      </c>
      <c r="D10" s="47"/>
      <c r="E10" s="11"/>
      <c r="F10" s="11"/>
      <c r="G10" s="11"/>
      <c r="H10" s="11"/>
      <c r="I10" s="11"/>
      <c r="J10" s="11"/>
      <c r="K10" s="11"/>
      <c r="L10" s="11"/>
      <c r="M10" s="11"/>
      <c r="N10" s="12">
        <f>SUM(N7:N9)</f>
        <v>0.24363051028588847</v>
      </c>
      <c r="O10" s="12"/>
    </row>
    <row r="11" spans="1:24" ht="15.75" thickBot="1">
      <c r="A11" s="107"/>
      <c r="B11" s="107"/>
      <c r="C11" s="107"/>
      <c r="D11" s="107"/>
      <c r="E11" s="107"/>
      <c r="F11" s="107"/>
      <c r="G11" s="107"/>
      <c r="H11" s="107"/>
      <c r="I11" s="107"/>
      <c r="J11" s="107"/>
      <c r="M11" s="14"/>
    </row>
    <row r="12" spans="1:24" ht="15" customHeight="1" thickBot="1">
      <c r="A12" s="108" t="s">
        <v>54</v>
      </c>
      <c r="B12" s="108"/>
      <c r="C12" s="108"/>
      <c r="D12" s="108"/>
      <c r="E12" s="108"/>
      <c r="F12" s="108"/>
      <c r="G12" s="108"/>
      <c r="H12" s="108"/>
      <c r="I12" s="108"/>
      <c r="J12" s="108"/>
      <c r="K12" s="65">
        <f>(N10+N4)/(C10*0.75)</f>
        <v>1.0765190826301025E-2</v>
      </c>
      <c r="L12" s="66"/>
      <c r="M12" s="5"/>
      <c r="N12" s="68"/>
    </row>
    <row r="13" spans="1:24" ht="15.75" thickBot="1">
      <c r="A13" s="98" t="s">
        <v>55</v>
      </c>
      <c r="B13" s="98"/>
      <c r="C13" s="98"/>
      <c r="D13" s="98"/>
      <c r="E13" s="98"/>
      <c r="F13" s="98"/>
      <c r="G13" s="98"/>
      <c r="H13" s="98"/>
      <c r="I13" s="98"/>
      <c r="J13" s="98"/>
      <c r="K13" s="65">
        <f>1.3*K12</f>
        <v>1.3994748074191333E-2</v>
      </c>
      <c r="L13" s="66"/>
      <c r="M13" s="14"/>
      <c r="N13" s="68"/>
    </row>
    <row r="14" spans="1:24">
      <c r="A14" s="98"/>
      <c r="B14" s="98"/>
      <c r="C14" s="98"/>
      <c r="D14" s="98"/>
      <c r="E14" s="98"/>
      <c r="F14" s="98"/>
      <c r="G14" s="98"/>
      <c r="H14" s="98"/>
      <c r="I14" s="98"/>
      <c r="J14" s="98"/>
      <c r="K14" s="27"/>
      <c r="L14" s="27"/>
      <c r="M14" s="27"/>
      <c r="N14" s="68"/>
    </row>
    <row r="15" spans="1:24" ht="15.75" thickBot="1">
      <c r="A15" s="98" t="s">
        <v>56</v>
      </c>
      <c r="B15" s="98"/>
      <c r="C15" s="98"/>
      <c r="D15" s="98"/>
      <c r="E15" s="98"/>
      <c r="F15" s="98"/>
      <c r="G15" s="98"/>
      <c r="H15" s="98"/>
      <c r="I15" s="98"/>
      <c r="J15" s="98"/>
      <c r="K15" s="67">
        <f>(N10+N4)</f>
        <v>0.47434122078388891</v>
      </c>
      <c r="L15" s="27" t="s">
        <v>57</v>
      </c>
      <c r="M15" s="14"/>
      <c r="N15" s="68"/>
    </row>
    <row r="16" spans="1:24" ht="15.75" thickBot="1">
      <c r="A16" s="101" t="s">
        <v>58</v>
      </c>
      <c r="B16" s="101"/>
      <c r="C16" s="101"/>
      <c r="D16" s="101"/>
      <c r="E16" s="101"/>
      <c r="F16" s="101"/>
      <c r="G16" s="101"/>
      <c r="H16" s="101"/>
      <c r="I16" s="101"/>
      <c r="J16" s="101"/>
      <c r="K16" s="69">
        <f>K15*7850</f>
        <v>3723.5785831535277</v>
      </c>
      <c r="L16" s="27" t="s">
        <v>59</v>
      </c>
      <c r="M16" s="14"/>
      <c r="N16" s="68"/>
    </row>
    <row r="17" spans="1:14" ht="15.75" thickBot="1">
      <c r="A17" s="98" t="s">
        <v>60</v>
      </c>
      <c r="B17" s="98"/>
      <c r="C17" s="98"/>
      <c r="D17" s="98"/>
      <c r="E17" s="98"/>
      <c r="F17" s="98"/>
      <c r="G17" s="98"/>
      <c r="H17" s="98"/>
      <c r="I17" s="98"/>
      <c r="J17" s="98"/>
      <c r="K17" s="70">
        <f>K16/(C10*0.75)</f>
        <v>84.50674798646304</v>
      </c>
      <c r="L17" s="71" t="s">
        <v>61</v>
      </c>
      <c r="M17" s="14"/>
      <c r="N17" s="68"/>
    </row>
    <row r="18" spans="1:14" ht="15.75" thickBot="1">
      <c r="A18" s="98" t="s">
        <v>62</v>
      </c>
      <c r="B18" s="98"/>
      <c r="C18" s="98"/>
      <c r="D18" s="98"/>
      <c r="E18" s="98"/>
      <c r="F18" s="98"/>
      <c r="G18" s="98"/>
      <c r="H18" s="98"/>
      <c r="I18" s="98"/>
      <c r="J18" s="98"/>
      <c r="K18" s="70">
        <f>1.3*K17</f>
        <v>109.85877238240195</v>
      </c>
      <c r="L18" s="71" t="s">
        <v>61</v>
      </c>
      <c r="M18" s="26"/>
      <c r="N18" s="68"/>
    </row>
    <row r="19" spans="1:14" ht="15.75" thickBot="1">
      <c r="M19" s="4"/>
    </row>
    <row r="20" spans="1:14" ht="15.75" thickBot="1">
      <c r="M20" s="30"/>
    </row>
    <row r="21" spans="1:14" ht="15.75" thickBot="1">
      <c r="M21" s="30"/>
    </row>
    <row r="22" spans="1:14" ht="15.75" thickBot="1">
      <c r="M22" s="30"/>
    </row>
    <row r="23" spans="1:14" ht="15.75" thickBot="1">
      <c r="M23" s="30"/>
    </row>
    <row r="24" spans="1:14">
      <c r="M24" s="41"/>
    </row>
    <row r="25" spans="1:14">
      <c r="M25" s="33"/>
    </row>
    <row r="26" spans="1:14">
      <c r="M26" s="33"/>
    </row>
    <row r="27" spans="1:14">
      <c r="M27" s="36"/>
    </row>
    <row r="28" spans="1:14">
      <c r="M28" s="36"/>
    </row>
    <row r="29" spans="1:14">
      <c r="M29" s="36"/>
    </row>
    <row r="30" spans="1:14">
      <c r="M30" s="41"/>
    </row>
    <row r="31" spans="1:14">
      <c r="M31" s="41"/>
    </row>
  </sheetData>
  <mergeCells count="15">
    <mergeCell ref="E1:G1"/>
    <mergeCell ref="H1:J1"/>
    <mergeCell ref="Q2:Q3"/>
    <mergeCell ref="A5:J5"/>
    <mergeCell ref="E6:G6"/>
    <mergeCell ref="H6:J6"/>
    <mergeCell ref="A16:J16"/>
    <mergeCell ref="A17:J17"/>
    <mergeCell ref="A18:J18"/>
    <mergeCell ref="Q7:Q8"/>
    <mergeCell ref="A11:J11"/>
    <mergeCell ref="A12:J12"/>
    <mergeCell ref="A13:J13"/>
    <mergeCell ref="A14:J14"/>
    <mergeCell ref="A15:J1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FBAF-A214-43E8-B14E-F2FBE3880F26}">
  <sheetPr codeName="Sheet7"/>
  <dimension ref="A1:X31"/>
  <sheetViews>
    <sheetView zoomScale="145" zoomScaleNormal="145" workbookViewId="0">
      <selection activeCell="M1" sqref="M1:M1048576"/>
    </sheetView>
  </sheetViews>
  <sheetFormatPr defaultRowHeight="15"/>
  <cols>
    <col min="1" max="1" width="13.875" style="9" bestFit="1" customWidth="1"/>
    <col min="2" max="2" width="9.125" style="9" bestFit="1" customWidth="1"/>
    <col min="3" max="3" width="8" style="9" bestFit="1" customWidth="1"/>
    <col min="4" max="4" width="6.75" style="9" bestFit="1" customWidth="1"/>
    <col min="5" max="5" width="2.375" style="9" bestFit="1" customWidth="1"/>
    <col min="6" max="6" width="1.875" style="9" bestFit="1" customWidth="1"/>
    <col min="7" max="7" width="3.125" style="9" bestFit="1" customWidth="1"/>
    <col min="8" max="8" width="2.375" style="9" bestFit="1" customWidth="1"/>
    <col min="9" max="9" width="2.25" style="9" bestFit="1" customWidth="1"/>
    <col min="10" max="10" width="3.125" style="9" bestFit="1" customWidth="1"/>
    <col min="11" max="11" width="6.875" style="9" bestFit="1" customWidth="1"/>
    <col min="12" max="12" width="9.125" style="9" bestFit="1" customWidth="1"/>
    <col min="13" max="13" width="9.625" style="9" customWidth="1"/>
    <col min="14" max="14" width="9.25" style="9" bestFit="1" customWidth="1"/>
    <col min="15" max="15" width="7.125" style="9" customWidth="1"/>
    <col min="16" max="21" width="9" style="9"/>
    <col min="22" max="22" width="12.25" style="9" bestFit="1" customWidth="1"/>
    <col min="23" max="16384" width="9" style="9"/>
  </cols>
  <sheetData>
    <row r="1" spans="1:24" ht="36.75" customHeight="1" thickBot="1">
      <c r="A1" s="43" t="s">
        <v>63</v>
      </c>
      <c r="B1" s="44" t="s">
        <v>64</v>
      </c>
      <c r="C1" s="5" t="s">
        <v>17</v>
      </c>
      <c r="D1" s="5" t="s">
        <v>18</v>
      </c>
      <c r="E1" s="95" t="s">
        <v>19</v>
      </c>
      <c r="F1" s="96"/>
      <c r="G1" s="97"/>
      <c r="H1" s="95" t="s">
        <v>20</v>
      </c>
      <c r="I1" s="96"/>
      <c r="J1" s="97"/>
      <c r="K1" s="5" t="s">
        <v>21</v>
      </c>
      <c r="L1" s="5" t="s">
        <v>22</v>
      </c>
      <c r="M1" s="78" t="s">
        <v>88</v>
      </c>
      <c r="N1" s="5" t="s">
        <v>23</v>
      </c>
      <c r="O1" s="5" t="s">
        <v>24</v>
      </c>
      <c r="Q1" s="8"/>
      <c r="R1" s="8" t="s">
        <v>25</v>
      </c>
      <c r="S1" s="8" t="s">
        <v>26</v>
      </c>
      <c r="T1" s="8" t="s">
        <v>27</v>
      </c>
      <c r="U1" s="8" t="s">
        <v>28</v>
      </c>
      <c r="V1" s="8" t="s">
        <v>29</v>
      </c>
      <c r="W1" s="8" t="s">
        <v>30</v>
      </c>
      <c r="X1" s="8" t="s">
        <v>31</v>
      </c>
    </row>
    <row r="2" spans="1:24" ht="15.75" thickBot="1">
      <c r="A2" s="46" t="s">
        <v>32</v>
      </c>
      <c r="B2" s="47" t="s">
        <v>75</v>
      </c>
      <c r="C2" s="48">
        <f>C5-C4</f>
        <v>96.28</v>
      </c>
      <c r="D2" s="73">
        <v>185</v>
      </c>
      <c r="E2" s="11">
        <v>25</v>
      </c>
      <c r="F2" s="11" t="s">
        <v>34</v>
      </c>
      <c r="G2" s="11">
        <v>250</v>
      </c>
      <c r="H2" s="11"/>
      <c r="I2" s="11"/>
      <c r="J2" s="11"/>
      <c r="K2" s="13">
        <f>VLOOKUP(_xlfn.CONCAT(E2,F2,G2,H2,I2,J2),'[1]reinf variations'!$H$2:$J$12,2, FALSE)</f>
        <v>1963.4954084936207</v>
      </c>
      <c r="L2" s="14">
        <v>0.29599999999999999</v>
      </c>
      <c r="M2" s="14"/>
      <c r="N2" s="12">
        <f>K2*C2/10^6</f>
        <v>0.1890453379297658</v>
      </c>
      <c r="O2" s="13">
        <f>VLOOKUP(_xlfn.CONCAT(E2,F2,G2,H2,I2,J2),'[1]reinf variations'!$H$2:$J$12,3, FALSE)</f>
        <v>265</v>
      </c>
      <c r="Q2" s="110" t="s">
        <v>44</v>
      </c>
      <c r="R2" s="16" t="s">
        <v>66</v>
      </c>
      <c r="S2" s="16">
        <v>75</v>
      </c>
      <c r="T2" s="16">
        <v>65</v>
      </c>
      <c r="U2" s="16">
        <v>65</v>
      </c>
      <c r="V2" s="16">
        <v>185</v>
      </c>
      <c r="W2" s="16">
        <v>0.29599999999999999</v>
      </c>
      <c r="X2" s="8">
        <v>269</v>
      </c>
    </row>
    <row r="3" spans="1:24" ht="15.75" thickBot="1">
      <c r="A3" s="46" t="s">
        <v>32</v>
      </c>
      <c r="B3" s="47" t="s">
        <v>36</v>
      </c>
      <c r="C3" s="48">
        <f>C5</f>
        <v>104.28</v>
      </c>
      <c r="D3" s="17">
        <v>290</v>
      </c>
      <c r="E3" s="11">
        <v>25</v>
      </c>
      <c r="F3" s="11" t="s">
        <v>34</v>
      </c>
      <c r="G3" s="11">
        <v>250</v>
      </c>
      <c r="H3" s="11"/>
      <c r="I3" s="11"/>
      <c r="J3" s="11"/>
      <c r="K3" s="13">
        <f>VLOOKUP(_xlfn.CONCAT(E3,F3,G3,H3,I3,J3),'[1]reinf variations'!$H$2:$J$12,2, FALSE)</f>
        <v>1963.4954084936207</v>
      </c>
      <c r="L3" s="14">
        <v>0.29399999999999998</v>
      </c>
      <c r="M3" s="14"/>
      <c r="N3" s="12">
        <f t="shared" ref="N3:N4" si="0">K3*C3/10^6</f>
        <v>0.20475330119771479</v>
      </c>
      <c r="O3" s="13">
        <f>VLOOKUP(_xlfn.CONCAT(E3,F3,G3,H3,I3,J3),'[1]reinf variations'!$H$2:$J$12,3, FALSE)</f>
        <v>265</v>
      </c>
      <c r="Q3" s="111"/>
      <c r="R3" s="19" t="s">
        <v>36</v>
      </c>
      <c r="S3" s="19">
        <v>50</v>
      </c>
      <c r="T3" s="19">
        <v>40</v>
      </c>
      <c r="U3" s="19">
        <v>40</v>
      </c>
      <c r="V3" s="19">
        <v>290</v>
      </c>
      <c r="W3" s="20">
        <v>0.29399999999999998</v>
      </c>
      <c r="X3" s="19">
        <v>274</v>
      </c>
    </row>
    <row r="4" spans="1:24" ht="15.75" thickBot="1">
      <c r="A4" s="46" t="s">
        <v>82</v>
      </c>
      <c r="B4" s="47" t="s">
        <v>75</v>
      </c>
      <c r="C4" s="48">
        <f>2*2*2</f>
        <v>8</v>
      </c>
      <c r="D4" s="73">
        <v>200</v>
      </c>
      <c r="E4" s="11">
        <v>25</v>
      </c>
      <c r="F4" s="11" t="s">
        <v>34</v>
      </c>
      <c r="G4" s="11">
        <v>250</v>
      </c>
      <c r="H4" s="11">
        <v>20</v>
      </c>
      <c r="I4" s="11" t="s">
        <v>34</v>
      </c>
      <c r="J4" s="11">
        <v>250</v>
      </c>
      <c r="K4" s="13">
        <f>VLOOKUP(_xlfn.CONCAT(E4,F4,G4,H4,I4,J4),'[1]reinf variations'!$H$2:$J$12,2, FALSE)</f>
        <v>3220.1324699295383</v>
      </c>
      <c r="L4" s="14">
        <v>0.1389764514098574</v>
      </c>
      <c r="M4" s="14"/>
      <c r="N4" s="12">
        <f t="shared" si="0"/>
        <v>2.5761059759436305E-2</v>
      </c>
      <c r="O4" s="13">
        <f>VLOOKUP(_xlfn.CONCAT(E4,F4,G4,H4,I4,J4),'[1]reinf variations'!$H$2:$J$12,3, FALSE)</f>
        <v>315</v>
      </c>
    </row>
    <row r="5" spans="1:24" ht="15.75" thickBot="1">
      <c r="A5" s="51" t="s">
        <v>42</v>
      </c>
      <c r="B5" s="47"/>
      <c r="C5" s="48">
        <v>104.28</v>
      </c>
      <c r="D5" s="73"/>
      <c r="E5" s="11"/>
      <c r="F5" s="11"/>
      <c r="G5" s="11"/>
      <c r="H5" s="11"/>
      <c r="I5" s="11"/>
      <c r="J5" s="11"/>
      <c r="K5" s="11"/>
      <c r="L5" s="11"/>
      <c r="M5" s="14"/>
      <c r="N5" s="12">
        <f>SUM(N2:N4)</f>
        <v>0.41955969888691691</v>
      </c>
      <c r="O5" s="5"/>
    </row>
    <row r="6" spans="1:24" ht="15.75" thickBot="1">
      <c r="A6" s="107"/>
      <c r="B6" s="107"/>
      <c r="C6" s="107"/>
      <c r="D6" s="107"/>
      <c r="E6" s="107"/>
      <c r="F6" s="107"/>
      <c r="G6" s="107"/>
      <c r="H6" s="107"/>
      <c r="I6" s="107"/>
      <c r="J6" s="107"/>
      <c r="K6" s="53"/>
      <c r="L6" s="53"/>
      <c r="M6" s="14"/>
      <c r="N6" s="53"/>
      <c r="O6" s="12"/>
      <c r="P6" s="25"/>
    </row>
    <row r="7" spans="1:24" ht="36.75" customHeight="1" thickBot="1">
      <c r="A7" s="43" t="s">
        <v>83</v>
      </c>
      <c r="B7" s="44" t="s">
        <v>64</v>
      </c>
      <c r="C7" s="55" t="s">
        <v>68</v>
      </c>
      <c r="D7" s="55" t="s">
        <v>69</v>
      </c>
      <c r="E7" s="95" t="s">
        <v>19</v>
      </c>
      <c r="F7" s="96"/>
      <c r="G7" s="97"/>
      <c r="H7" s="95" t="s">
        <v>20</v>
      </c>
      <c r="I7" s="96"/>
      <c r="J7" s="97"/>
      <c r="K7" s="5" t="s">
        <v>21</v>
      </c>
      <c r="L7" s="5" t="s">
        <v>22</v>
      </c>
      <c r="M7" s="14"/>
      <c r="N7" s="5" t="s">
        <v>23</v>
      </c>
      <c r="O7" s="5" t="s">
        <v>24</v>
      </c>
      <c r="Q7" s="8"/>
      <c r="R7" s="8" t="s">
        <v>25</v>
      </c>
      <c r="S7" s="8" t="s">
        <v>26</v>
      </c>
      <c r="T7" s="8" t="s">
        <v>27</v>
      </c>
      <c r="U7" s="8" t="s">
        <v>28</v>
      </c>
      <c r="V7" s="8" t="s">
        <v>29</v>
      </c>
      <c r="W7" s="8" t="s">
        <v>30</v>
      </c>
      <c r="X7" s="8" t="s">
        <v>31</v>
      </c>
    </row>
    <row r="8" spans="1:24" ht="15.75" thickBot="1">
      <c r="A8" s="46" t="s">
        <v>70</v>
      </c>
      <c r="B8" s="47" t="s">
        <v>75</v>
      </c>
      <c r="C8" s="48">
        <f>C12-C10</f>
        <v>90.78</v>
      </c>
      <c r="D8" s="72">
        <v>215</v>
      </c>
      <c r="E8" s="11">
        <v>25</v>
      </c>
      <c r="F8" s="11" t="s">
        <v>34</v>
      </c>
      <c r="G8" s="11">
        <v>250</v>
      </c>
      <c r="H8" s="11"/>
      <c r="I8" s="11"/>
      <c r="J8" s="11"/>
      <c r="K8" s="13">
        <f>VLOOKUP(_xlfn.CONCAT(E8,F8,G8,H8,I8,J8),'[1]reinf variations'!$H$2:$J$12,2, FALSE)</f>
        <v>1963.4954084936207</v>
      </c>
      <c r="L8" s="14">
        <v>0.29299999999999998</v>
      </c>
      <c r="M8" s="14"/>
      <c r="N8" s="12">
        <f>K8*C8/10^6</f>
        <v>0.17824611318305089</v>
      </c>
      <c r="O8" s="13">
        <f>VLOOKUP(_xlfn.CONCAT(E8,F8,G8,H8,I8,J8),'[1]reinf variations'!$H$2:$J$12,3, FALSE)</f>
        <v>265</v>
      </c>
      <c r="Q8" s="110" t="s">
        <v>35</v>
      </c>
      <c r="R8" s="16" t="s">
        <v>66</v>
      </c>
      <c r="S8" s="16">
        <v>65</v>
      </c>
      <c r="T8" s="16">
        <v>75</v>
      </c>
      <c r="U8" s="16">
        <v>55</v>
      </c>
      <c r="V8" s="16">
        <v>215</v>
      </c>
      <c r="W8" s="16">
        <v>0.29299999999999998</v>
      </c>
      <c r="X8" s="8">
        <v>271</v>
      </c>
    </row>
    <row r="9" spans="1:24" ht="15.75" thickBot="1">
      <c r="A9" s="46" t="s">
        <v>70</v>
      </c>
      <c r="B9" s="47" t="s">
        <v>36</v>
      </c>
      <c r="C9" s="48">
        <f>C12-C11</f>
        <v>90.974999999999994</v>
      </c>
      <c r="D9" s="17">
        <v>165</v>
      </c>
      <c r="E9" s="11">
        <v>25</v>
      </c>
      <c r="F9" s="11" t="s">
        <v>34</v>
      </c>
      <c r="G9" s="11">
        <v>250</v>
      </c>
      <c r="H9" s="11"/>
      <c r="I9" s="11"/>
      <c r="J9" s="11"/>
      <c r="K9" s="13">
        <f>VLOOKUP(_xlfn.CONCAT(E9,F9,G9,H9,I9,J9),'[1]reinf variations'!$H$2:$J$12,2, FALSE)</f>
        <v>1963.4954084936207</v>
      </c>
      <c r="L9" s="14">
        <v>0.29799999999999999</v>
      </c>
      <c r="M9" s="14"/>
      <c r="N9" s="12">
        <f t="shared" ref="N9:N11" si="1">K9*C9/10^6</f>
        <v>0.17862899478770713</v>
      </c>
      <c r="O9" s="13">
        <f>VLOOKUP(_xlfn.CONCAT(E9,F9,G9,H9,I9,J9),'[1]reinf variations'!$H$2:$J$12,3, FALSE)</f>
        <v>265</v>
      </c>
      <c r="Q9" s="111"/>
      <c r="R9" s="19" t="s">
        <v>36</v>
      </c>
      <c r="S9" s="19">
        <v>40</v>
      </c>
      <c r="T9" s="19">
        <v>50</v>
      </c>
      <c r="U9" s="19">
        <v>30</v>
      </c>
      <c r="V9" s="19">
        <v>165</v>
      </c>
      <c r="W9" s="20">
        <v>0.29799999999999999</v>
      </c>
      <c r="X9" s="19">
        <v>276</v>
      </c>
    </row>
    <row r="10" spans="1:24" ht="15.75" thickBot="1">
      <c r="A10" s="46" t="s">
        <v>76</v>
      </c>
      <c r="B10" s="47" t="s">
        <v>75</v>
      </c>
      <c r="C10" s="48">
        <f>1.5*9</f>
        <v>13.5</v>
      </c>
      <c r="D10" s="74">
        <v>500</v>
      </c>
      <c r="E10" s="11">
        <v>20</v>
      </c>
      <c r="F10" s="11" t="s">
        <v>34</v>
      </c>
      <c r="G10" s="11">
        <v>125</v>
      </c>
      <c r="H10" s="11">
        <v>25</v>
      </c>
      <c r="I10" s="11" t="s">
        <v>34</v>
      </c>
      <c r="J10" s="11">
        <v>250</v>
      </c>
      <c r="K10" s="13">
        <f>VLOOKUP(_xlfn.CONCAT(E10,F10,G10,H10,I10,J10),'[1]reinf variations'!$H$2:$J$12,2, FALSE)</f>
        <v>4476.7695313654549</v>
      </c>
      <c r="L10" s="14">
        <v>0.24712353801064285</v>
      </c>
      <c r="M10" s="11"/>
      <c r="N10" s="12">
        <f t="shared" si="1"/>
        <v>6.0436388673433643E-2</v>
      </c>
      <c r="O10" s="13">
        <v>354.26986802267476</v>
      </c>
    </row>
    <row r="11" spans="1:24" ht="15.75" thickBot="1">
      <c r="A11" s="46" t="s">
        <v>77</v>
      </c>
      <c r="B11" s="47" t="s">
        <v>36</v>
      </c>
      <c r="C11" s="48">
        <f>2*3/4*8.87*1</f>
        <v>13.305</v>
      </c>
      <c r="D11" s="17">
        <v>180</v>
      </c>
      <c r="E11" s="11">
        <v>25</v>
      </c>
      <c r="F11" s="11" t="s">
        <v>34</v>
      </c>
      <c r="G11" s="11">
        <v>250</v>
      </c>
      <c r="H11" s="11">
        <v>20</v>
      </c>
      <c r="I11" s="11" t="s">
        <v>34</v>
      </c>
      <c r="J11" s="11">
        <v>250</v>
      </c>
      <c r="K11" s="13">
        <f>VLOOKUP(_xlfn.CONCAT(E11,F11,G11,H11,I11,J11),'[1]reinf variations'!$H$2:$J$12,2, FALSE)</f>
        <v>3220.1324699295383</v>
      </c>
      <c r="L11" s="14">
        <v>0.19190640524050709</v>
      </c>
      <c r="M11" s="14"/>
      <c r="N11" s="12">
        <f t="shared" si="1"/>
        <v>4.2843862512412505E-2</v>
      </c>
      <c r="O11" s="13">
        <v>299.67866832190043</v>
      </c>
    </row>
    <row r="12" spans="1:24" ht="15.75" thickBot="1">
      <c r="A12" s="51" t="s">
        <v>42</v>
      </c>
      <c r="B12" s="47"/>
      <c r="C12" s="48">
        <v>104.28</v>
      </c>
      <c r="D12" s="47"/>
      <c r="E12" s="11"/>
      <c r="F12" s="11"/>
      <c r="G12" s="11"/>
      <c r="H12" s="11"/>
      <c r="I12" s="11"/>
      <c r="J12" s="11"/>
      <c r="K12" s="11"/>
      <c r="L12" s="11"/>
      <c r="M12" s="5"/>
      <c r="N12" s="12">
        <f>SUM(N8:N11)</f>
        <v>0.46015535915660422</v>
      </c>
      <c r="O12" s="13"/>
    </row>
    <row r="13" spans="1:24" ht="15.75" thickBot="1">
      <c r="A13" s="109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26"/>
    </row>
    <row r="14" spans="1:24" ht="45.75" thickBot="1">
      <c r="A14" s="27"/>
      <c r="B14" s="4" t="s">
        <v>46</v>
      </c>
      <c r="C14" s="5" t="s">
        <v>17</v>
      </c>
      <c r="D14" s="4" t="s">
        <v>47</v>
      </c>
      <c r="E14" s="95" t="s">
        <v>48</v>
      </c>
      <c r="F14" s="96"/>
      <c r="G14" s="96"/>
      <c r="H14" s="97"/>
      <c r="I14" s="95" t="s">
        <v>49</v>
      </c>
      <c r="J14" s="96"/>
      <c r="K14" s="97"/>
      <c r="L14" s="4" t="s">
        <v>21</v>
      </c>
      <c r="M14" s="27"/>
      <c r="N14" s="4" t="s">
        <v>50</v>
      </c>
      <c r="O14" s="27"/>
      <c r="P14" s="28"/>
      <c r="Q14" s="15"/>
    </row>
    <row r="15" spans="1:24" ht="15.75" thickBot="1">
      <c r="A15" s="27"/>
      <c r="B15" s="29" t="s">
        <v>76</v>
      </c>
      <c r="C15" s="30">
        <f>2*11.75</f>
        <v>23.5</v>
      </c>
      <c r="D15" s="29">
        <v>10</v>
      </c>
      <c r="E15" s="92">
        <v>250</v>
      </c>
      <c r="F15" s="93"/>
      <c r="G15" s="93"/>
      <c r="H15" s="94"/>
      <c r="I15" s="92">
        <v>250</v>
      </c>
      <c r="J15" s="93"/>
      <c r="K15" s="94"/>
      <c r="L15" s="30">
        <f>(1000/E15)*(PI()*D15^2/4)/I15*1000</f>
        <v>1256.6370614359173</v>
      </c>
      <c r="M15" s="14"/>
      <c r="N15" s="30">
        <f>C15*L15/10^6</f>
        <v>2.9530970943744059E-2</v>
      </c>
      <c r="O15" s="27"/>
      <c r="P15" s="28"/>
      <c r="Q15" s="15"/>
    </row>
    <row r="16" spans="1:24" ht="15.75" thickBot="1">
      <c r="A16" s="27"/>
      <c r="B16" s="29" t="s">
        <v>53</v>
      </c>
      <c r="C16" s="29"/>
      <c r="D16" s="29"/>
      <c r="E16" s="92"/>
      <c r="F16" s="93"/>
      <c r="G16" s="93"/>
      <c r="H16" s="94"/>
      <c r="I16" s="92"/>
      <c r="J16" s="93"/>
      <c r="K16" s="94"/>
      <c r="L16" s="30"/>
      <c r="M16" s="14"/>
      <c r="N16" s="30">
        <f>SUM(N15:N15)</f>
        <v>2.9530970943744059E-2</v>
      </c>
      <c r="O16" s="27"/>
      <c r="P16" s="28"/>
      <c r="Q16" s="15"/>
    </row>
    <row r="17" spans="1:14" ht="15.75" thickBot="1">
      <c r="A17" s="106"/>
      <c r="B17" s="107"/>
      <c r="C17" s="107"/>
      <c r="D17" s="107"/>
      <c r="E17" s="107"/>
      <c r="F17" s="107"/>
      <c r="G17" s="107"/>
      <c r="H17" s="107"/>
      <c r="I17" s="107"/>
      <c r="J17" s="107"/>
      <c r="M17" s="14"/>
    </row>
    <row r="18" spans="1:14" ht="15" customHeight="1" thickBot="1">
      <c r="A18" s="108" t="s">
        <v>54</v>
      </c>
      <c r="B18" s="108"/>
      <c r="C18" s="108"/>
      <c r="D18" s="108"/>
      <c r="E18" s="108"/>
      <c r="F18" s="108"/>
      <c r="G18" s="108"/>
      <c r="H18" s="108"/>
      <c r="I18" s="108"/>
      <c r="J18" s="108"/>
      <c r="K18" s="65">
        <f>(N12+N5+N16)/(C12*0.75)</f>
        <v>1.162570040899201E-2</v>
      </c>
      <c r="L18" s="66"/>
      <c r="M18" s="26"/>
      <c r="N18" s="68"/>
    </row>
    <row r="19" spans="1:14" ht="15.75" thickBot="1">
      <c r="A19" s="98" t="s">
        <v>55</v>
      </c>
      <c r="B19" s="98"/>
      <c r="C19" s="98"/>
      <c r="D19" s="98"/>
      <c r="E19" s="98"/>
      <c r="F19" s="98"/>
      <c r="G19" s="98"/>
      <c r="H19" s="98"/>
      <c r="I19" s="98"/>
      <c r="J19" s="98"/>
      <c r="K19" s="65">
        <f>1.3*K18</f>
        <v>1.5113410531689613E-2</v>
      </c>
      <c r="L19" s="66"/>
      <c r="M19" s="4"/>
      <c r="N19" s="68"/>
    </row>
    <row r="20" spans="1:14" ht="15.75" thickBot="1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27"/>
      <c r="L20" s="27"/>
      <c r="M20" s="30"/>
      <c r="N20" s="68"/>
    </row>
    <row r="21" spans="1:14" ht="15.75" thickBot="1">
      <c r="A21" s="98" t="s">
        <v>56</v>
      </c>
      <c r="B21" s="98"/>
      <c r="C21" s="98"/>
      <c r="D21" s="98"/>
      <c r="E21" s="98"/>
      <c r="F21" s="98"/>
      <c r="G21" s="98"/>
      <c r="H21" s="98"/>
      <c r="I21" s="98"/>
      <c r="J21" s="98"/>
      <c r="K21" s="67">
        <f>(N12+N5+N16)</f>
        <v>0.90924602898726514</v>
      </c>
      <c r="L21" s="27" t="s">
        <v>57</v>
      </c>
      <c r="M21" s="30"/>
      <c r="N21" s="68"/>
    </row>
    <row r="22" spans="1:14" ht="15.75" thickBot="1">
      <c r="A22" s="101" t="s">
        <v>58</v>
      </c>
      <c r="B22" s="101"/>
      <c r="C22" s="101"/>
      <c r="D22" s="101"/>
      <c r="E22" s="101"/>
      <c r="F22" s="101"/>
      <c r="G22" s="101"/>
      <c r="H22" s="101"/>
      <c r="I22" s="101"/>
      <c r="J22" s="101"/>
      <c r="K22" s="69">
        <f>K21*7850</f>
        <v>7137.5813275500313</v>
      </c>
      <c r="L22" s="27" t="s">
        <v>59</v>
      </c>
      <c r="M22" s="30"/>
      <c r="N22" s="68"/>
    </row>
    <row r="23" spans="1:14" ht="15.75" thickBot="1">
      <c r="A23" s="98" t="s">
        <v>60</v>
      </c>
      <c r="B23" s="98"/>
      <c r="C23" s="98"/>
      <c r="D23" s="98"/>
      <c r="E23" s="98"/>
      <c r="F23" s="98"/>
      <c r="G23" s="98"/>
      <c r="H23" s="98"/>
      <c r="I23" s="98"/>
      <c r="J23" s="98"/>
      <c r="K23" s="70">
        <f>K22/(C12*0.75)</f>
        <v>91.261748210587271</v>
      </c>
      <c r="L23" s="71" t="s">
        <v>61</v>
      </c>
      <c r="M23" s="30"/>
      <c r="N23" s="68"/>
    </row>
    <row r="24" spans="1:14">
      <c r="A24" s="98" t="s">
        <v>62</v>
      </c>
      <c r="B24" s="98"/>
      <c r="C24" s="98"/>
      <c r="D24" s="98"/>
      <c r="E24" s="98"/>
      <c r="F24" s="98"/>
      <c r="G24" s="98"/>
      <c r="H24" s="98"/>
      <c r="I24" s="98"/>
      <c r="J24" s="98"/>
      <c r="K24" s="70">
        <f>1.3*K23</f>
        <v>118.64027267376346</v>
      </c>
      <c r="L24" s="71" t="s">
        <v>61</v>
      </c>
      <c r="M24" s="41"/>
      <c r="N24" s="68"/>
    </row>
    <row r="25" spans="1:14">
      <c r="M25" s="33"/>
    </row>
    <row r="26" spans="1:14">
      <c r="M26" s="33"/>
    </row>
    <row r="27" spans="1:14">
      <c r="M27" s="36"/>
    </row>
    <row r="28" spans="1:14">
      <c r="M28" s="36"/>
    </row>
    <row r="29" spans="1:14">
      <c r="M29" s="36"/>
    </row>
    <row r="30" spans="1:14">
      <c r="M30" s="41"/>
    </row>
    <row r="31" spans="1:14">
      <c r="M31" s="41"/>
    </row>
  </sheetData>
  <mergeCells count="22">
    <mergeCell ref="E1:G1"/>
    <mergeCell ref="H1:J1"/>
    <mergeCell ref="Q2:Q3"/>
    <mergeCell ref="A6:J6"/>
    <mergeCell ref="E7:G7"/>
    <mergeCell ref="H7:J7"/>
    <mergeCell ref="Q8:Q9"/>
    <mergeCell ref="A13:N13"/>
    <mergeCell ref="E14:H14"/>
    <mergeCell ref="I14:K14"/>
    <mergeCell ref="E15:H15"/>
    <mergeCell ref="I15:K15"/>
    <mergeCell ref="A21:J21"/>
    <mergeCell ref="A22:J22"/>
    <mergeCell ref="A23:J23"/>
    <mergeCell ref="A24:J24"/>
    <mergeCell ref="E16:H16"/>
    <mergeCell ref="I16:K16"/>
    <mergeCell ref="A17:J17"/>
    <mergeCell ref="A18:J18"/>
    <mergeCell ref="A19:J19"/>
    <mergeCell ref="A20:J20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EDB6E-9011-4479-AD86-AD1CF700EBAE}">
  <sheetPr codeName="Sheet8"/>
  <dimension ref="A1:X31"/>
  <sheetViews>
    <sheetView zoomScale="130" zoomScaleNormal="130" workbookViewId="0">
      <selection activeCell="M1" sqref="M1:M1048576"/>
    </sheetView>
  </sheetViews>
  <sheetFormatPr defaultRowHeight="15"/>
  <cols>
    <col min="1" max="1" width="13.875" style="9" bestFit="1" customWidth="1"/>
    <col min="2" max="2" width="9.125" style="9" bestFit="1" customWidth="1"/>
    <col min="3" max="3" width="8" style="9" bestFit="1" customWidth="1"/>
    <col min="4" max="4" width="6.75" style="9" bestFit="1" customWidth="1"/>
    <col min="5" max="5" width="2.375" style="9" bestFit="1" customWidth="1"/>
    <col min="6" max="6" width="1.875" style="9" bestFit="1" customWidth="1"/>
    <col min="7" max="7" width="3.125" style="9" bestFit="1" customWidth="1"/>
    <col min="8" max="8" width="2.375" style="9" bestFit="1" customWidth="1"/>
    <col min="9" max="9" width="2.25" style="9" bestFit="1" customWidth="1"/>
    <col min="10" max="10" width="3.125" style="9" bestFit="1" customWidth="1"/>
    <col min="11" max="11" width="6.875" style="9" bestFit="1" customWidth="1"/>
    <col min="12" max="12" width="9.125" style="9" bestFit="1" customWidth="1"/>
    <col min="13" max="13" width="9.625" style="9" customWidth="1"/>
    <col min="14" max="14" width="9.25" style="9" bestFit="1" customWidth="1"/>
    <col min="15" max="15" width="10.625" style="9" customWidth="1"/>
    <col min="16" max="21" width="9" style="9"/>
    <col min="22" max="22" width="15.125" style="9" customWidth="1"/>
    <col min="23" max="16384" width="9" style="9"/>
  </cols>
  <sheetData>
    <row r="1" spans="1:24" ht="34.5" thickBot="1">
      <c r="A1" s="43" t="s">
        <v>84</v>
      </c>
      <c r="B1" s="44" t="s">
        <v>64</v>
      </c>
      <c r="C1" s="5" t="s">
        <v>17</v>
      </c>
      <c r="D1" s="5" t="s">
        <v>18</v>
      </c>
      <c r="E1" s="95" t="s">
        <v>19</v>
      </c>
      <c r="F1" s="96"/>
      <c r="G1" s="97"/>
      <c r="H1" s="95" t="s">
        <v>20</v>
      </c>
      <c r="I1" s="96"/>
      <c r="J1" s="97"/>
      <c r="K1" s="5" t="s">
        <v>21</v>
      </c>
      <c r="L1" s="5" t="s">
        <v>22</v>
      </c>
      <c r="M1" s="78" t="s">
        <v>88</v>
      </c>
      <c r="N1" s="5" t="s">
        <v>23</v>
      </c>
      <c r="O1" s="5" t="s">
        <v>24</v>
      </c>
      <c r="Q1" s="8"/>
      <c r="R1" s="8" t="s">
        <v>25</v>
      </c>
      <c r="S1" s="8" t="s">
        <v>26</v>
      </c>
      <c r="T1" s="8" t="s">
        <v>27</v>
      </c>
      <c r="U1" s="8" t="s">
        <v>28</v>
      </c>
      <c r="V1" s="8" t="s">
        <v>29</v>
      </c>
      <c r="W1" s="8" t="s">
        <v>30</v>
      </c>
      <c r="X1" s="8" t="s">
        <v>31</v>
      </c>
    </row>
    <row r="2" spans="1:24" ht="15.75" thickBot="1">
      <c r="A2" s="46" t="s">
        <v>32</v>
      </c>
      <c r="B2" s="47" t="s">
        <v>75</v>
      </c>
      <c r="C2" s="48">
        <f>C4</f>
        <v>29.37</v>
      </c>
      <c r="D2" s="73">
        <v>185</v>
      </c>
      <c r="E2" s="11">
        <v>25</v>
      </c>
      <c r="F2" s="11" t="s">
        <v>34</v>
      </c>
      <c r="G2" s="11">
        <v>250</v>
      </c>
      <c r="H2" s="11"/>
      <c r="I2" s="11"/>
      <c r="J2" s="11"/>
      <c r="K2" s="13">
        <f>VLOOKUP(_xlfn.CONCAT(E2,F2,G2,H2,I2,J2),'[1]reinf variations'!$H$2:$J$12,2, FALSE)</f>
        <v>1963.4954084936207</v>
      </c>
      <c r="L2" s="14">
        <v>0.29599999999999999</v>
      </c>
      <c r="M2" s="14"/>
      <c r="N2" s="12">
        <f>K2*C2/10^6</f>
        <v>5.7667860147457645E-2</v>
      </c>
      <c r="O2" s="13">
        <f>VLOOKUP(_xlfn.CONCAT(E2,F2,G2,H2,I2,J2),'[1]reinf variations'!$H$2:$J$12,3, FALSE)</f>
        <v>265</v>
      </c>
      <c r="Q2" s="110" t="s">
        <v>44</v>
      </c>
      <c r="R2" s="16" t="s">
        <v>66</v>
      </c>
      <c r="S2" s="16">
        <v>75</v>
      </c>
      <c r="T2" s="16">
        <v>65</v>
      </c>
      <c r="U2" s="16">
        <v>65</v>
      </c>
      <c r="V2" s="16">
        <v>185</v>
      </c>
      <c r="W2" s="16">
        <v>0.29599999999999999</v>
      </c>
      <c r="X2" s="8">
        <v>269</v>
      </c>
    </row>
    <row r="3" spans="1:24" ht="15.75" thickBot="1">
      <c r="A3" s="46" t="s">
        <v>32</v>
      </c>
      <c r="B3" s="47" t="s">
        <v>36</v>
      </c>
      <c r="C3" s="48">
        <f>C4</f>
        <v>29.37</v>
      </c>
      <c r="D3" s="17">
        <v>290</v>
      </c>
      <c r="E3" s="11">
        <v>25</v>
      </c>
      <c r="F3" s="11" t="s">
        <v>34</v>
      </c>
      <c r="G3" s="11">
        <v>250</v>
      </c>
      <c r="H3" s="11"/>
      <c r="I3" s="11"/>
      <c r="J3" s="11"/>
      <c r="K3" s="13">
        <v>1963.4954084936207</v>
      </c>
      <c r="L3" s="14">
        <v>0.29399999999999998</v>
      </c>
      <c r="M3" s="14"/>
      <c r="N3" s="12">
        <f t="shared" ref="N3" si="0">K3*C3/10^6</f>
        <v>5.7667860147457645E-2</v>
      </c>
      <c r="O3" s="13">
        <f>VLOOKUP(_xlfn.CONCAT(E3,F3,G3,H3,I3,J3),'[1]reinf variations'!$H$2:$J$12,3, FALSE)</f>
        <v>265</v>
      </c>
      <c r="Q3" s="111"/>
      <c r="R3" s="19" t="s">
        <v>36</v>
      </c>
      <c r="S3" s="19">
        <v>50</v>
      </c>
      <c r="T3" s="19">
        <v>40</v>
      </c>
      <c r="U3" s="19">
        <v>40</v>
      </c>
      <c r="V3" s="19">
        <v>290</v>
      </c>
      <c r="W3" s="20">
        <v>0.29399999999999998</v>
      </c>
      <c r="X3" s="19">
        <v>274</v>
      </c>
    </row>
    <row r="4" spans="1:24" ht="15.75" thickBot="1">
      <c r="A4" s="51" t="s">
        <v>42</v>
      </c>
      <c r="B4" s="47"/>
      <c r="C4" s="48">
        <v>29.37</v>
      </c>
      <c r="D4" s="47"/>
      <c r="E4" s="11"/>
      <c r="F4" s="11"/>
      <c r="G4" s="11"/>
      <c r="H4" s="11"/>
      <c r="I4" s="11"/>
      <c r="J4" s="11"/>
      <c r="K4" s="11"/>
      <c r="L4" s="11"/>
      <c r="M4" s="14"/>
      <c r="N4" s="12">
        <f>SUM(N2:N3)</f>
        <v>0.11533572029491529</v>
      </c>
      <c r="O4" s="5"/>
    </row>
    <row r="5" spans="1:24" ht="15.75" thickBot="1">
      <c r="A5" s="107"/>
      <c r="B5" s="107"/>
      <c r="C5" s="107"/>
      <c r="D5" s="107"/>
      <c r="E5" s="107"/>
      <c r="F5" s="107"/>
      <c r="G5" s="107"/>
      <c r="H5" s="107"/>
      <c r="I5" s="107"/>
      <c r="J5" s="107"/>
      <c r="K5" s="53"/>
      <c r="L5" s="53"/>
      <c r="M5" s="14"/>
      <c r="N5" s="53"/>
      <c r="O5" s="12"/>
      <c r="P5" s="25"/>
    </row>
    <row r="6" spans="1:24" ht="34.5" thickBot="1">
      <c r="A6" s="43" t="s">
        <v>83</v>
      </c>
      <c r="B6" s="44" t="s">
        <v>64</v>
      </c>
      <c r="C6" s="55" t="s">
        <v>68</v>
      </c>
      <c r="D6" s="55" t="s">
        <v>69</v>
      </c>
      <c r="E6" s="95" t="s">
        <v>19</v>
      </c>
      <c r="F6" s="96"/>
      <c r="G6" s="97"/>
      <c r="H6" s="95" t="s">
        <v>20</v>
      </c>
      <c r="I6" s="96"/>
      <c r="J6" s="97"/>
      <c r="K6" s="5" t="s">
        <v>21</v>
      </c>
      <c r="L6" s="5" t="s">
        <v>22</v>
      </c>
      <c r="M6" s="14"/>
      <c r="N6" s="5" t="s">
        <v>23</v>
      </c>
      <c r="O6" s="5" t="s">
        <v>24</v>
      </c>
      <c r="Q6" s="8"/>
      <c r="R6" s="8" t="s">
        <v>25</v>
      </c>
      <c r="S6" s="8" t="s">
        <v>26</v>
      </c>
      <c r="T6" s="8" t="s">
        <v>27</v>
      </c>
      <c r="U6" s="8" t="s">
        <v>28</v>
      </c>
      <c r="V6" s="8" t="s">
        <v>29</v>
      </c>
      <c r="W6" s="8" t="s">
        <v>30</v>
      </c>
      <c r="X6" s="8" t="s">
        <v>31</v>
      </c>
    </row>
    <row r="7" spans="1:24" ht="15.75" thickBot="1">
      <c r="A7" s="46" t="s">
        <v>70</v>
      </c>
      <c r="B7" s="47" t="s">
        <v>75</v>
      </c>
      <c r="C7" s="48">
        <f>C9</f>
        <v>29.37</v>
      </c>
      <c r="D7" s="72">
        <v>215</v>
      </c>
      <c r="E7" s="11">
        <v>25</v>
      </c>
      <c r="F7" s="11" t="s">
        <v>34</v>
      </c>
      <c r="G7" s="11">
        <v>250</v>
      </c>
      <c r="H7" s="11"/>
      <c r="I7" s="11"/>
      <c r="J7" s="11"/>
      <c r="K7" s="13">
        <f>VLOOKUP(_xlfn.CONCAT(E7,F7,G7,H7,I7,J7),'[1]reinf variations'!$H$2:$J$12,2, FALSE)</f>
        <v>1963.4954084936207</v>
      </c>
      <c r="L7" s="14">
        <v>0.29299999999999998</v>
      </c>
      <c r="M7" s="14"/>
      <c r="N7" s="12">
        <f>K7*C7/10^6</f>
        <v>5.7667860147457645E-2</v>
      </c>
      <c r="O7" s="13">
        <f>VLOOKUP(_xlfn.CONCAT(E7,F7,G7,H7,I7,J7),'[1]reinf variations'!$H$2:$J$12,3, FALSE)</f>
        <v>265</v>
      </c>
      <c r="Q7" s="110" t="s">
        <v>35</v>
      </c>
      <c r="R7" s="16" t="s">
        <v>66</v>
      </c>
      <c r="S7" s="16">
        <v>65</v>
      </c>
      <c r="T7" s="16">
        <v>75</v>
      </c>
      <c r="U7" s="16">
        <v>55</v>
      </c>
      <c r="V7" s="16">
        <v>215</v>
      </c>
      <c r="W7" s="16">
        <v>0.29299999999999998</v>
      </c>
      <c r="X7" s="8">
        <v>271</v>
      </c>
    </row>
    <row r="8" spans="1:24" ht="15.75" thickBot="1">
      <c r="A8" s="46" t="s">
        <v>70</v>
      </c>
      <c r="B8" s="47" t="s">
        <v>36</v>
      </c>
      <c r="C8" s="48">
        <f>C9</f>
        <v>29.37</v>
      </c>
      <c r="D8" s="17">
        <v>165</v>
      </c>
      <c r="E8" s="11">
        <v>25</v>
      </c>
      <c r="F8" s="11" t="s">
        <v>34</v>
      </c>
      <c r="G8" s="11">
        <v>250</v>
      </c>
      <c r="H8" s="11"/>
      <c r="I8" s="11"/>
      <c r="J8" s="11"/>
      <c r="K8" s="13">
        <v>1963.4954084936207</v>
      </c>
      <c r="L8" s="14">
        <v>0.29799999999999999</v>
      </c>
      <c r="M8" s="14"/>
      <c r="N8" s="12">
        <f t="shared" ref="N8" si="1">K8*C8/10^6</f>
        <v>5.7667860147457645E-2</v>
      </c>
      <c r="O8" s="13">
        <v>275.52059624933111</v>
      </c>
      <c r="Q8" s="111"/>
      <c r="R8" s="19" t="s">
        <v>36</v>
      </c>
      <c r="S8" s="19">
        <v>40</v>
      </c>
      <c r="T8" s="19">
        <v>50</v>
      </c>
      <c r="U8" s="19">
        <v>30</v>
      </c>
      <c r="V8" s="19">
        <v>165</v>
      </c>
      <c r="W8" s="20">
        <v>0.29799999999999999</v>
      </c>
      <c r="X8" s="19">
        <v>276</v>
      </c>
    </row>
    <row r="9" spans="1:24" ht="15.75" thickBot="1">
      <c r="A9" s="51" t="s">
        <v>42</v>
      </c>
      <c r="B9" s="47"/>
      <c r="C9" s="48">
        <v>29.37</v>
      </c>
      <c r="D9" s="47"/>
      <c r="E9" s="11"/>
      <c r="F9" s="11"/>
      <c r="G9" s="11"/>
      <c r="H9" s="11"/>
      <c r="I9" s="11"/>
      <c r="J9" s="11"/>
      <c r="K9" s="11"/>
      <c r="L9" s="11"/>
      <c r="M9" s="14"/>
      <c r="N9" s="12">
        <f>SUM(N7:N8)</f>
        <v>0.11533572029491529</v>
      </c>
      <c r="O9" s="12"/>
    </row>
    <row r="10" spans="1:24" ht="15.75" thickBot="1">
      <c r="A10" s="107"/>
      <c r="B10" s="107"/>
      <c r="C10" s="107"/>
      <c r="D10" s="107"/>
      <c r="E10" s="107"/>
      <c r="F10" s="107"/>
      <c r="G10" s="107"/>
      <c r="H10" s="107"/>
      <c r="I10" s="107"/>
      <c r="J10" s="107"/>
      <c r="M10" s="11"/>
    </row>
    <row r="11" spans="1:24" ht="45.75" thickBot="1">
      <c r="A11" s="27"/>
      <c r="B11" s="4" t="s">
        <v>46</v>
      </c>
      <c r="C11" s="5" t="s">
        <v>17</v>
      </c>
      <c r="D11" s="4" t="s">
        <v>47</v>
      </c>
      <c r="E11" s="95" t="s">
        <v>48</v>
      </c>
      <c r="F11" s="96"/>
      <c r="G11" s="96"/>
      <c r="H11" s="97"/>
      <c r="I11" s="95" t="s">
        <v>49</v>
      </c>
      <c r="J11" s="96"/>
      <c r="K11" s="97"/>
      <c r="L11" s="4" t="s">
        <v>21</v>
      </c>
      <c r="M11" s="14"/>
      <c r="N11" s="4" t="s">
        <v>50</v>
      </c>
      <c r="O11" s="27"/>
      <c r="P11" s="28"/>
      <c r="Q11" s="15"/>
    </row>
    <row r="12" spans="1:24" ht="15.75" thickBot="1">
      <c r="A12" s="27"/>
      <c r="B12" s="29" t="s">
        <v>85</v>
      </c>
      <c r="C12" s="30">
        <f>2*1.5*1.5</f>
        <v>4.5</v>
      </c>
      <c r="D12" s="29">
        <v>10</v>
      </c>
      <c r="E12" s="92">
        <v>250</v>
      </c>
      <c r="F12" s="93"/>
      <c r="G12" s="93"/>
      <c r="H12" s="94"/>
      <c r="I12" s="92">
        <v>250</v>
      </c>
      <c r="J12" s="93"/>
      <c r="K12" s="94"/>
      <c r="L12" s="30">
        <f>(1000/E12)*(PI()*D12^2/4)/I12*1000</f>
        <v>1256.6370614359173</v>
      </c>
      <c r="M12" s="5"/>
      <c r="N12" s="75">
        <f>C12*L12/10^6</f>
        <v>5.6548667764616273E-3</v>
      </c>
      <c r="O12" s="27"/>
      <c r="P12" s="28"/>
      <c r="Q12" s="15"/>
    </row>
    <row r="13" spans="1:24" ht="15.75" thickBot="1">
      <c r="A13" s="27"/>
      <c r="B13" s="29" t="s">
        <v>86</v>
      </c>
      <c r="C13" s="30">
        <f>2*1.5*1.5</f>
        <v>4.5</v>
      </c>
      <c r="D13" s="29">
        <v>10</v>
      </c>
      <c r="E13" s="92">
        <v>250</v>
      </c>
      <c r="F13" s="93"/>
      <c r="G13" s="93"/>
      <c r="H13" s="94"/>
      <c r="I13" s="92">
        <v>250</v>
      </c>
      <c r="J13" s="93"/>
      <c r="K13" s="94"/>
      <c r="L13" s="30">
        <f>(1000/E13)*(PI()*D13^2/4)/I13*1000</f>
        <v>1256.6370614359173</v>
      </c>
      <c r="M13" s="30"/>
      <c r="N13" s="75">
        <f>C13*L13/10^6</f>
        <v>5.6548667764616273E-3</v>
      </c>
      <c r="O13" s="27"/>
      <c r="P13" s="28"/>
      <c r="Q13" s="15"/>
    </row>
    <row r="14" spans="1:24" ht="15.75" thickBot="1">
      <c r="A14" s="27"/>
      <c r="B14" s="29" t="s">
        <v>53</v>
      </c>
      <c r="C14" s="29"/>
      <c r="D14" s="29"/>
      <c r="E14" s="92"/>
      <c r="F14" s="93"/>
      <c r="G14" s="93"/>
      <c r="H14" s="94"/>
      <c r="I14" s="92"/>
      <c r="J14" s="93"/>
      <c r="K14" s="94"/>
      <c r="L14" s="30"/>
      <c r="M14" s="27"/>
      <c r="N14" s="75">
        <f>SUM(N12:N13)</f>
        <v>1.1309733552923255E-2</v>
      </c>
      <c r="O14" s="27"/>
      <c r="P14" s="28"/>
      <c r="Q14" s="15"/>
    </row>
    <row r="15" spans="1:24" ht="15.75" thickBot="1">
      <c r="A15" s="2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26"/>
      <c r="M15" s="14"/>
      <c r="N15" s="26"/>
      <c r="O15" s="27"/>
      <c r="P15" s="28"/>
      <c r="Q15" s="15"/>
    </row>
    <row r="16" spans="1:24" ht="15" customHeight="1" thickBot="1">
      <c r="A16" s="108" t="s">
        <v>54</v>
      </c>
      <c r="B16" s="108"/>
      <c r="C16" s="108"/>
      <c r="D16" s="108"/>
      <c r="E16" s="108"/>
      <c r="F16" s="108"/>
      <c r="G16" s="108"/>
      <c r="H16" s="108"/>
      <c r="I16" s="108"/>
      <c r="J16" s="108"/>
      <c r="K16" s="65">
        <f>(N9+N4+N14)/(C9*0.75)</f>
        <v>1.0985412513574115E-2</v>
      </c>
      <c r="L16" s="66"/>
      <c r="M16" s="14"/>
      <c r="N16" s="68"/>
    </row>
    <row r="17" spans="1:14" ht="15.75" thickBot="1">
      <c r="A17" s="98" t="s">
        <v>55</v>
      </c>
      <c r="B17" s="98"/>
      <c r="C17" s="98"/>
      <c r="D17" s="98"/>
      <c r="E17" s="98"/>
      <c r="F17" s="98"/>
      <c r="G17" s="98"/>
      <c r="H17" s="98"/>
      <c r="I17" s="98"/>
      <c r="J17" s="98"/>
      <c r="K17" s="65">
        <f>1.3*K16</f>
        <v>1.428103626764635E-2</v>
      </c>
      <c r="L17" s="66"/>
      <c r="M17" s="14"/>
      <c r="N17" s="68"/>
    </row>
    <row r="18" spans="1:14" ht="15.75" thickBot="1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27"/>
      <c r="L18" s="27"/>
      <c r="M18" s="26"/>
      <c r="N18" s="68"/>
    </row>
    <row r="19" spans="1:14" ht="15.75" thickBot="1">
      <c r="A19" s="98" t="s">
        <v>56</v>
      </c>
      <c r="B19" s="98"/>
      <c r="C19" s="98"/>
      <c r="D19" s="98"/>
      <c r="E19" s="98"/>
      <c r="F19" s="98"/>
      <c r="G19" s="98"/>
      <c r="H19" s="98"/>
      <c r="I19" s="98"/>
      <c r="J19" s="98"/>
      <c r="K19" s="67">
        <f>(N9+N4+N14)</f>
        <v>0.24198117414275383</v>
      </c>
      <c r="L19" s="27" t="s">
        <v>57</v>
      </c>
      <c r="M19" s="4"/>
      <c r="N19" s="68"/>
    </row>
    <row r="20" spans="1:14" ht="15.75" thickBot="1">
      <c r="A20" s="101" t="s">
        <v>58</v>
      </c>
      <c r="B20" s="101"/>
      <c r="C20" s="101"/>
      <c r="D20" s="101"/>
      <c r="E20" s="101"/>
      <c r="F20" s="101"/>
      <c r="G20" s="101"/>
      <c r="H20" s="101"/>
      <c r="I20" s="101"/>
      <c r="J20" s="101"/>
      <c r="K20" s="69">
        <f>K19*7850</f>
        <v>1899.5522170206175</v>
      </c>
      <c r="L20" s="27" t="s">
        <v>59</v>
      </c>
      <c r="M20" s="30"/>
      <c r="N20" s="68"/>
    </row>
    <row r="21" spans="1:14" ht="15.75" thickBot="1">
      <c r="A21" s="98" t="s">
        <v>60</v>
      </c>
      <c r="B21" s="98"/>
      <c r="C21" s="98"/>
      <c r="D21" s="98"/>
      <c r="E21" s="98"/>
      <c r="F21" s="98"/>
      <c r="G21" s="98"/>
      <c r="H21" s="98"/>
      <c r="I21" s="98"/>
      <c r="J21" s="98"/>
      <c r="K21" s="70">
        <f>K20/(C9*0.75)</f>
        <v>86.235488231556801</v>
      </c>
      <c r="L21" s="71" t="s">
        <v>61</v>
      </c>
      <c r="M21" s="30"/>
      <c r="N21" s="68"/>
    </row>
    <row r="22" spans="1:14" ht="15.75" thickBot="1">
      <c r="A22" s="98" t="s">
        <v>62</v>
      </c>
      <c r="B22" s="98"/>
      <c r="C22" s="98"/>
      <c r="D22" s="98"/>
      <c r="E22" s="98"/>
      <c r="F22" s="98"/>
      <c r="G22" s="98"/>
      <c r="H22" s="98"/>
      <c r="I22" s="98"/>
      <c r="J22" s="98"/>
      <c r="K22" s="70">
        <f>1.3*K21</f>
        <v>112.10613470102385</v>
      </c>
      <c r="L22" s="71" t="s">
        <v>61</v>
      </c>
      <c r="M22" s="30"/>
      <c r="N22" s="68"/>
    </row>
    <row r="23" spans="1:14" ht="15.75" thickBot="1">
      <c r="M23" s="30"/>
    </row>
    <row r="24" spans="1:14">
      <c r="M24" s="41"/>
    </row>
    <row r="25" spans="1:14">
      <c r="M25" s="33"/>
    </row>
    <row r="26" spans="1:14">
      <c r="M26" s="33"/>
    </row>
    <row r="27" spans="1:14">
      <c r="M27" s="36"/>
    </row>
    <row r="28" spans="1:14">
      <c r="M28" s="36"/>
    </row>
    <row r="29" spans="1:14">
      <c r="M29" s="36"/>
    </row>
    <row r="30" spans="1:14">
      <c r="M30" s="41"/>
    </row>
    <row r="31" spans="1:14">
      <c r="M31" s="41"/>
    </row>
  </sheetData>
  <mergeCells count="23">
    <mergeCell ref="E1:G1"/>
    <mergeCell ref="H1:J1"/>
    <mergeCell ref="Q2:Q3"/>
    <mergeCell ref="A5:J5"/>
    <mergeCell ref="E6:G6"/>
    <mergeCell ref="H6:J6"/>
    <mergeCell ref="A17:J17"/>
    <mergeCell ref="Q7:Q8"/>
    <mergeCell ref="A10:J10"/>
    <mergeCell ref="E11:H11"/>
    <mergeCell ref="I11:K11"/>
    <mergeCell ref="E12:H12"/>
    <mergeCell ref="I12:K12"/>
    <mergeCell ref="E13:H13"/>
    <mergeCell ref="I13:K13"/>
    <mergeCell ref="E14:H14"/>
    <mergeCell ref="I14:K14"/>
    <mergeCell ref="A16:J16"/>
    <mergeCell ref="A18:J18"/>
    <mergeCell ref="A19:J19"/>
    <mergeCell ref="A20:J20"/>
    <mergeCell ref="A21:J21"/>
    <mergeCell ref="A22:J2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0EC49-570C-4760-B297-B78B578BBA2A}">
  <sheetPr codeName="Sheet9"/>
  <dimension ref="A1:AB31"/>
  <sheetViews>
    <sheetView topLeftCell="E1" zoomScale="130" zoomScaleNormal="130" workbookViewId="0">
      <selection activeCell="M1" sqref="M1:M1048576"/>
    </sheetView>
  </sheetViews>
  <sheetFormatPr defaultRowHeight="15"/>
  <cols>
    <col min="1" max="1" width="12.625" style="9" customWidth="1"/>
    <col min="2" max="2" width="11.75" style="9" customWidth="1"/>
    <col min="3" max="3" width="8.25" style="9" customWidth="1"/>
    <col min="4" max="4" width="9.375" style="9" customWidth="1"/>
    <col min="5" max="5" width="2.875" style="9" customWidth="1"/>
    <col min="6" max="6" width="1.875" style="9" bestFit="1" customWidth="1"/>
    <col min="7" max="7" width="3.875" style="9" customWidth="1"/>
    <col min="8" max="8" width="2.375" style="9" bestFit="1" customWidth="1"/>
    <col min="9" max="9" width="2.25" style="9" bestFit="1" customWidth="1"/>
    <col min="10" max="10" width="3.125" style="9" bestFit="1" customWidth="1"/>
    <col min="11" max="11" width="7.375" style="9" customWidth="1"/>
    <col min="12" max="13" width="9.625" style="9" customWidth="1"/>
    <col min="14" max="14" width="11.75" style="9" customWidth="1"/>
    <col min="15" max="15" width="11.75" style="34" customWidth="1"/>
    <col min="16" max="16" width="5.125" style="34" customWidth="1"/>
    <col min="17" max="17" width="9" style="34"/>
    <col min="18" max="21" width="9" style="9"/>
    <col min="22" max="22" width="15.625" style="9" customWidth="1"/>
    <col min="23" max="16384" width="9" style="9"/>
  </cols>
  <sheetData>
    <row r="1" spans="1:28" ht="34.5" customHeight="1" thickBot="1">
      <c r="A1" s="3" t="s">
        <v>15</v>
      </c>
      <c r="B1" s="4" t="s">
        <v>16</v>
      </c>
      <c r="C1" s="5" t="s">
        <v>17</v>
      </c>
      <c r="D1" s="5" t="s">
        <v>18</v>
      </c>
      <c r="E1" s="95" t="s">
        <v>19</v>
      </c>
      <c r="F1" s="96"/>
      <c r="G1" s="97"/>
      <c r="H1" s="95" t="s">
        <v>20</v>
      </c>
      <c r="I1" s="96"/>
      <c r="J1" s="97"/>
      <c r="K1" s="5" t="s">
        <v>21</v>
      </c>
      <c r="L1" s="5" t="s">
        <v>22</v>
      </c>
      <c r="M1" s="78" t="s">
        <v>88</v>
      </c>
      <c r="N1" s="5" t="s">
        <v>23</v>
      </c>
      <c r="O1" s="5" t="s">
        <v>24</v>
      </c>
      <c r="P1" s="7"/>
      <c r="Q1" s="8"/>
      <c r="R1" s="8" t="s">
        <v>25</v>
      </c>
      <c r="S1" s="8" t="s">
        <v>26</v>
      </c>
      <c r="T1" s="8" t="s">
        <v>27</v>
      </c>
      <c r="U1" s="8" t="s">
        <v>28</v>
      </c>
      <c r="V1" s="8" t="s">
        <v>29</v>
      </c>
      <c r="W1" s="8" t="s">
        <v>30</v>
      </c>
      <c r="X1" s="8" t="s">
        <v>31</v>
      </c>
    </row>
    <row r="2" spans="1:28" ht="15.75" thickBot="1">
      <c r="A2" s="10" t="s">
        <v>32</v>
      </c>
      <c r="B2" s="11" t="s">
        <v>33</v>
      </c>
      <c r="C2" s="12">
        <f>C8-C4-C6</f>
        <v>114.625</v>
      </c>
      <c r="D2" s="13">
        <v>215</v>
      </c>
      <c r="E2" s="11">
        <v>25</v>
      </c>
      <c r="F2" s="11" t="s">
        <v>34</v>
      </c>
      <c r="G2" s="11">
        <v>250</v>
      </c>
      <c r="H2" s="11"/>
      <c r="I2" s="11"/>
      <c r="J2" s="11"/>
      <c r="K2" s="13">
        <f>VLOOKUP(_xlfn.CONCAT(E2,F2,G2,H2,I2,J2),'[1]reinf variations'!$H$2:$J$12,2, FALSE)</f>
        <v>1963.4954084936207</v>
      </c>
      <c r="L2" s="14">
        <v>0.29343919669447954</v>
      </c>
      <c r="M2" s="14"/>
      <c r="N2" s="12">
        <f>K2*C2/10^6</f>
        <v>0.22506566119858129</v>
      </c>
      <c r="O2" s="13">
        <f>VLOOKUP(_xlfn.CONCAT(E2,F2,G2,H2,I2,J2),'[1]reinf variations'!$H$2:$J$12,3, FALSE)</f>
        <v>265</v>
      </c>
      <c r="P2" s="15"/>
      <c r="Q2" s="113" t="s">
        <v>35</v>
      </c>
      <c r="R2" s="50" t="s">
        <v>33</v>
      </c>
      <c r="S2" s="50">
        <v>70</v>
      </c>
      <c r="T2" s="50">
        <v>75</v>
      </c>
      <c r="U2" s="50">
        <v>55</v>
      </c>
      <c r="V2" s="50">
        <v>215</v>
      </c>
      <c r="W2" s="50">
        <v>0.29599999999999999</v>
      </c>
      <c r="X2" s="50">
        <v>270</v>
      </c>
    </row>
    <row r="3" spans="1:28" ht="15.75" thickBot="1">
      <c r="A3" s="10" t="s">
        <v>32</v>
      </c>
      <c r="B3" s="11" t="s">
        <v>36</v>
      </c>
      <c r="C3" s="12">
        <f>C8-C5-C7</f>
        <v>103.125</v>
      </c>
      <c r="D3" s="17">
        <v>165</v>
      </c>
      <c r="E3" s="11">
        <v>25</v>
      </c>
      <c r="F3" s="11" t="s">
        <v>34</v>
      </c>
      <c r="G3" s="11">
        <v>250</v>
      </c>
      <c r="H3" s="11"/>
      <c r="I3" s="11"/>
      <c r="J3" s="11"/>
      <c r="K3" s="13">
        <f>VLOOKUP(_xlfn.CONCAT(E3,F3,G3,H3,I3,J3),'[1]reinf variations'!$H$2:$J$12,2, FALSE)</f>
        <v>1963.4954084936207</v>
      </c>
      <c r="L3" s="14">
        <v>0.29797613145857627</v>
      </c>
      <c r="M3" s="14"/>
      <c r="N3" s="12">
        <f t="shared" ref="N3:N7" si="0">K3*C3/10^6</f>
        <v>0.20248546400090464</v>
      </c>
      <c r="O3" s="13">
        <f>VLOOKUP(_xlfn.CONCAT(E3,F3,G3,H3,I3,J3),'[1]reinf variations'!$H$2:$J$12,3, FALSE)</f>
        <v>265</v>
      </c>
      <c r="P3" s="18"/>
      <c r="Q3" s="113"/>
      <c r="R3" s="19" t="s">
        <v>36</v>
      </c>
      <c r="S3" s="19">
        <v>45</v>
      </c>
      <c r="T3" s="19">
        <v>50</v>
      </c>
      <c r="U3" s="19">
        <v>30</v>
      </c>
      <c r="V3" s="19">
        <v>160</v>
      </c>
      <c r="W3" s="20">
        <v>0.29099999999999998</v>
      </c>
      <c r="X3" s="19">
        <v>275</v>
      </c>
    </row>
    <row r="4" spans="1:28" ht="15.75" thickBot="1">
      <c r="A4" s="10" t="s">
        <v>37</v>
      </c>
      <c r="B4" s="11" t="s">
        <v>33</v>
      </c>
      <c r="C4" s="12">
        <f>3*3</f>
        <v>9</v>
      </c>
      <c r="D4" s="13">
        <v>915</v>
      </c>
      <c r="E4" s="11">
        <v>25</v>
      </c>
      <c r="F4" s="11" t="s">
        <v>34</v>
      </c>
      <c r="G4" s="11">
        <v>125</v>
      </c>
      <c r="H4" s="11">
        <v>25</v>
      </c>
      <c r="I4" s="11" t="s">
        <v>34</v>
      </c>
      <c r="J4" s="11">
        <v>125</v>
      </c>
      <c r="K4" s="13">
        <f>VLOOKUP(_xlfn.CONCAT(E4,F4,G4,H4,I4,J4),'[1]reinf variations'!$H$2:$J$12,2, FALSE)</f>
        <v>7853.981633974483</v>
      </c>
      <c r="L4" s="14">
        <v>0.2355145535715697</v>
      </c>
      <c r="M4" s="14"/>
      <c r="N4" s="12">
        <f t="shared" si="0"/>
        <v>7.0685834705770348E-2</v>
      </c>
      <c r="O4" s="13">
        <f>VLOOKUP(_xlfn.CONCAT(E4,F4,G4,H4,I4,J4),'[1]reinf variations'!$H$2:$J$12,3, FALSE)</f>
        <v>422</v>
      </c>
      <c r="P4" s="15"/>
      <c r="Q4" s="9"/>
    </row>
    <row r="5" spans="1:28" ht="15.75" thickBot="1">
      <c r="A5" s="10" t="s">
        <v>37</v>
      </c>
      <c r="B5" s="11" t="s">
        <v>36</v>
      </c>
      <c r="C5" s="12">
        <f>3*3</f>
        <v>9</v>
      </c>
      <c r="D5" s="17">
        <v>925</v>
      </c>
      <c r="E5" s="11">
        <v>25</v>
      </c>
      <c r="F5" s="11" t="s">
        <v>34</v>
      </c>
      <c r="G5" s="11">
        <v>125</v>
      </c>
      <c r="H5" s="11">
        <v>25</v>
      </c>
      <c r="I5" s="11" t="s">
        <v>34</v>
      </c>
      <c r="J5" s="11">
        <v>125</v>
      </c>
      <c r="K5" s="13">
        <f>VLOOKUP(_xlfn.CONCAT(E5,F5,G5,H5,I5,J5),'[1]reinf variations'!$H$2:$J$12,2, FALSE)</f>
        <v>7853.981633974483</v>
      </c>
      <c r="L5" s="14">
        <v>0.14984419766072063</v>
      </c>
      <c r="M5" s="14"/>
      <c r="N5" s="12">
        <f t="shared" si="0"/>
        <v>7.0685834705770348E-2</v>
      </c>
      <c r="O5" s="13">
        <f>VLOOKUP(_xlfn.CONCAT(E5,F5,G5,H5,I5,J5),'[1]reinf variations'!$H$2:$J$12,3, FALSE)</f>
        <v>422</v>
      </c>
      <c r="P5" s="15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</row>
    <row r="6" spans="1:28" ht="34.5" customHeight="1" thickBot="1">
      <c r="A6" s="10" t="s">
        <v>40</v>
      </c>
      <c r="B6" s="11" t="s">
        <v>33</v>
      </c>
      <c r="C6" s="12">
        <f>11.5*1</f>
        <v>11.5</v>
      </c>
      <c r="D6" s="21">
        <v>260</v>
      </c>
      <c r="E6" s="11">
        <v>25</v>
      </c>
      <c r="F6" s="11" t="s">
        <v>34</v>
      </c>
      <c r="G6" s="11">
        <v>250</v>
      </c>
      <c r="H6" s="11">
        <v>20</v>
      </c>
      <c r="I6" s="11" t="s">
        <v>34</v>
      </c>
      <c r="J6" s="11">
        <v>250</v>
      </c>
      <c r="K6" s="13">
        <f>VLOOKUP(_xlfn.CONCAT(E6,F6,G6,H6,I6,J6),'[1]reinf variations'!$H$2:$J$12,2, FALSE)</f>
        <v>3220.1324699295383</v>
      </c>
      <c r="L6" s="14">
        <v>0.18144211981026684</v>
      </c>
      <c r="M6" s="14"/>
      <c r="N6" s="12">
        <f t="shared" si="0"/>
        <v>3.7031523404189692E-2</v>
      </c>
      <c r="O6" s="13">
        <f>VLOOKUP(_xlfn.CONCAT(E6,F6,G6,H6,I6,J6),'[1]reinf variations'!$H$2:$J$12,3, FALSE)</f>
        <v>315</v>
      </c>
      <c r="P6" s="15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</row>
    <row r="7" spans="1:28" ht="15.75" thickBot="1">
      <c r="A7" s="10" t="s">
        <v>41</v>
      </c>
      <c r="B7" s="11" t="s">
        <v>36</v>
      </c>
      <c r="C7" s="12">
        <f>2*11.5*1</f>
        <v>23</v>
      </c>
      <c r="D7" s="61">
        <v>300</v>
      </c>
      <c r="E7" s="11">
        <v>25</v>
      </c>
      <c r="F7" s="11" t="s">
        <v>34</v>
      </c>
      <c r="G7" s="11">
        <v>125</v>
      </c>
      <c r="H7" s="11"/>
      <c r="I7" s="11"/>
      <c r="J7" s="11"/>
      <c r="K7" s="13">
        <f>VLOOKUP(_xlfn.CONCAT(E7,F7,G7,H7,I7,J7),'[1]reinf variations'!$H$2:$J$12,2, FALSE)</f>
        <v>3926.9908169872415</v>
      </c>
      <c r="L7" s="14">
        <v>8.8093091882740879E-2</v>
      </c>
      <c r="M7" s="14"/>
      <c r="N7" s="12">
        <f t="shared" si="0"/>
        <v>9.0320788790706555E-2</v>
      </c>
      <c r="O7" s="13">
        <f>VLOOKUP(_xlfn.CONCAT(E7,F7,G7,H7,I7,J7),'[1]reinf variations'!$H$2:$J$12,3, FALSE)</f>
        <v>338</v>
      </c>
      <c r="P7" s="15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</row>
    <row r="8" spans="1:28" ht="15.75" thickBot="1">
      <c r="A8" s="22" t="s">
        <v>42</v>
      </c>
      <c r="B8" s="11"/>
      <c r="C8" s="12">
        <f>11.75*11.5</f>
        <v>135.125</v>
      </c>
      <c r="D8" s="23"/>
      <c r="E8" s="11"/>
      <c r="F8" s="11"/>
      <c r="G8" s="11"/>
      <c r="H8" s="11"/>
      <c r="I8" s="11"/>
      <c r="J8" s="11"/>
      <c r="K8" s="11"/>
      <c r="L8" s="11"/>
      <c r="M8" s="14"/>
      <c r="N8" s="12">
        <f>SUM(N2:N7)</f>
        <v>0.69627510680592286</v>
      </c>
      <c r="O8" s="12"/>
      <c r="P8" s="15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</row>
    <row r="9" spans="1:28" ht="15.75" thickBot="1">
      <c r="A9" s="115"/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24"/>
      <c r="P9" s="25"/>
      <c r="Q9" s="9"/>
    </row>
    <row r="10" spans="1:28" ht="34.5" thickBot="1">
      <c r="A10" s="3" t="s">
        <v>43</v>
      </c>
      <c r="B10" s="4" t="s">
        <v>16</v>
      </c>
      <c r="C10" s="5" t="s">
        <v>17</v>
      </c>
      <c r="D10" s="5" t="s">
        <v>18</v>
      </c>
      <c r="E10" s="95" t="s">
        <v>19</v>
      </c>
      <c r="F10" s="96"/>
      <c r="G10" s="97"/>
      <c r="H10" s="95" t="s">
        <v>20</v>
      </c>
      <c r="I10" s="96"/>
      <c r="J10" s="97"/>
      <c r="K10" s="5" t="s">
        <v>21</v>
      </c>
      <c r="L10" s="5" t="s">
        <v>22</v>
      </c>
      <c r="M10" s="11"/>
      <c r="N10" s="5" t="s">
        <v>23</v>
      </c>
      <c r="O10" s="5" t="s">
        <v>24</v>
      </c>
      <c r="P10" s="15"/>
      <c r="Q10" s="8"/>
      <c r="R10" s="8" t="s">
        <v>25</v>
      </c>
      <c r="S10" s="8" t="s">
        <v>26</v>
      </c>
      <c r="T10" s="8" t="s">
        <v>27</v>
      </c>
      <c r="U10" s="8" t="s">
        <v>28</v>
      </c>
      <c r="V10" s="8" t="s">
        <v>29</v>
      </c>
      <c r="W10" s="8" t="s">
        <v>30</v>
      </c>
      <c r="X10" s="8" t="s">
        <v>31</v>
      </c>
    </row>
    <row r="11" spans="1:28" ht="15.75" thickBot="1">
      <c r="A11" s="10" t="s">
        <v>32</v>
      </c>
      <c r="B11" s="11" t="s">
        <v>33</v>
      </c>
      <c r="C11" s="12">
        <f>$C$15-C13</f>
        <v>68.885000000000005</v>
      </c>
      <c r="D11" s="11">
        <v>290</v>
      </c>
      <c r="E11" s="11">
        <v>25</v>
      </c>
      <c r="F11" s="11" t="s">
        <v>34</v>
      </c>
      <c r="G11" s="11">
        <v>250</v>
      </c>
      <c r="H11" s="11"/>
      <c r="I11" s="11"/>
      <c r="J11" s="11"/>
      <c r="K11" s="13">
        <f>VLOOKUP(_xlfn.CONCAT(E11,F11,G11,H11,I11,J11),'[1]reinf variations'!$H$2:$J$12,2, FALSE)</f>
        <v>1963.4954084936207</v>
      </c>
      <c r="L11" s="14">
        <v>0.29599999999999999</v>
      </c>
      <c r="M11" s="14"/>
      <c r="N11" s="12">
        <f>K11*C11/10^6</f>
        <v>0.13525538121408309</v>
      </c>
      <c r="O11" s="13">
        <f>VLOOKUP(_xlfn.CONCAT(E11,F11,G11,H11,I11,J11),'[1]reinf variations'!$H$2:$J$12,3, FALSE)</f>
        <v>265</v>
      </c>
      <c r="P11" s="15"/>
      <c r="Q11" s="113" t="s">
        <v>44</v>
      </c>
      <c r="R11" s="50" t="s">
        <v>33</v>
      </c>
      <c r="S11" s="50">
        <v>75</v>
      </c>
      <c r="T11" s="50">
        <v>70</v>
      </c>
      <c r="U11" s="50">
        <v>65</v>
      </c>
      <c r="V11" s="50">
        <v>185</v>
      </c>
      <c r="W11" s="50">
        <v>0.29599999999999999</v>
      </c>
      <c r="X11" s="50">
        <v>269</v>
      </c>
    </row>
    <row r="12" spans="1:28" ht="15.75" thickBot="1">
      <c r="A12" s="10" t="s">
        <v>32</v>
      </c>
      <c r="B12" s="11" t="s">
        <v>36</v>
      </c>
      <c r="C12" s="12">
        <f>$C$15-C14</f>
        <v>111.125</v>
      </c>
      <c r="D12" s="17">
        <v>185</v>
      </c>
      <c r="E12" s="11">
        <v>25</v>
      </c>
      <c r="F12" s="11" t="s">
        <v>34</v>
      </c>
      <c r="G12" s="11">
        <v>250</v>
      </c>
      <c r="H12" s="11"/>
      <c r="I12" s="11"/>
      <c r="J12" s="11"/>
      <c r="K12" s="13">
        <f>VLOOKUP(_xlfn.CONCAT(E12,F12,G12,H12,I12,J12),'[1]reinf variations'!$H$2:$J$12,2, FALSE)</f>
        <v>1963.4954084936207</v>
      </c>
      <c r="L12" s="14">
        <v>0.29399999999999998</v>
      </c>
      <c r="M12" s="5"/>
      <c r="N12" s="12">
        <f t="shared" ref="N12:N14" si="1">K12*C12/10^6</f>
        <v>0.2181934272688536</v>
      </c>
      <c r="O12" s="13">
        <f>VLOOKUP(_xlfn.CONCAT(E12,F12,G12,H12,I12,J12),'[1]reinf variations'!$H$2:$J$12,3, FALSE)</f>
        <v>265</v>
      </c>
      <c r="P12" s="15"/>
      <c r="Q12" s="113"/>
      <c r="R12" s="19" t="s">
        <v>36</v>
      </c>
      <c r="S12" s="19">
        <v>50</v>
      </c>
      <c r="T12" s="19">
        <v>45</v>
      </c>
      <c r="U12" s="19">
        <v>40</v>
      </c>
      <c r="V12" s="19">
        <v>290</v>
      </c>
      <c r="W12" s="20">
        <v>0.29399999999999998</v>
      </c>
      <c r="X12" s="19">
        <v>274</v>
      </c>
    </row>
    <row r="13" spans="1:28" ht="15.75" thickBot="1">
      <c r="A13" s="10" t="s">
        <v>45</v>
      </c>
      <c r="B13" s="11" t="s">
        <v>33</v>
      </c>
      <c r="C13" s="12">
        <f>2*3.6*9.2</f>
        <v>66.239999999999995</v>
      </c>
      <c r="D13" s="11">
        <v>335</v>
      </c>
      <c r="E13" s="11">
        <v>25</v>
      </c>
      <c r="F13" s="11" t="s">
        <v>34</v>
      </c>
      <c r="G13" s="11">
        <v>250</v>
      </c>
      <c r="H13" s="11">
        <v>20</v>
      </c>
      <c r="I13" s="11" t="s">
        <v>34</v>
      </c>
      <c r="J13" s="11">
        <v>250</v>
      </c>
      <c r="K13" s="13">
        <f>VLOOKUP(_xlfn.CONCAT(E13,F13,G13,H13,I13,J13),'[1]reinf variations'!$H$2:$J$12,2, FALSE)</f>
        <v>3220.1324699295383</v>
      </c>
      <c r="L13" s="14">
        <v>0.23278555611151117</v>
      </c>
      <c r="M13" s="30"/>
      <c r="N13" s="12">
        <f t="shared" si="1"/>
        <v>0.21330157480813261</v>
      </c>
      <c r="O13" s="13">
        <f>VLOOKUP(_xlfn.CONCAT(E13,F13,G13,H13,I13,J13),'[1]reinf variations'!$H$2:$J$12,3, FALSE)</f>
        <v>315</v>
      </c>
      <c r="P13" s="15"/>
      <c r="Q13" s="9"/>
    </row>
    <row r="14" spans="1:28" ht="15.75" thickBot="1">
      <c r="A14" s="10" t="s">
        <v>45</v>
      </c>
      <c r="B14" s="11" t="s">
        <v>36</v>
      </c>
      <c r="C14" s="12">
        <f>2*4*3</f>
        <v>24</v>
      </c>
      <c r="D14" s="17">
        <v>350</v>
      </c>
      <c r="E14" s="11">
        <v>25</v>
      </c>
      <c r="F14" s="11" t="s">
        <v>34</v>
      </c>
      <c r="G14" s="11">
        <v>250</v>
      </c>
      <c r="H14" s="11">
        <v>20</v>
      </c>
      <c r="I14" s="11" t="s">
        <v>34</v>
      </c>
      <c r="J14" s="11">
        <v>250</v>
      </c>
      <c r="K14" s="13">
        <f>VLOOKUP(_xlfn.CONCAT(E14,F14,G14,H14,I14,J14),'[1]reinf variations'!$H$2:$J$12,2, FALSE)</f>
        <v>3220.1324699295383</v>
      </c>
      <c r="L14" s="14">
        <v>0.17472147023605145</v>
      </c>
      <c r="M14" s="27"/>
      <c r="N14" s="12">
        <f t="shared" si="1"/>
        <v>7.7283179278308925E-2</v>
      </c>
      <c r="O14" s="13">
        <f>VLOOKUP(_xlfn.CONCAT(E14,F14,G14,H14,I14,J14),'[1]reinf variations'!$H$2:$J$12,3, FALSE)</f>
        <v>315</v>
      </c>
      <c r="P14" s="15"/>
      <c r="Q14" s="9"/>
    </row>
    <row r="15" spans="1:28" ht="15.75" thickBot="1">
      <c r="A15" s="10" t="s">
        <v>42</v>
      </c>
      <c r="B15" s="11"/>
      <c r="C15" s="12">
        <f>11.75*11.5</f>
        <v>135.125</v>
      </c>
      <c r="D15" s="11"/>
      <c r="E15" s="11"/>
      <c r="F15" s="11"/>
      <c r="G15" s="11"/>
      <c r="H15" s="11"/>
      <c r="I15" s="11"/>
      <c r="J15" s="11"/>
      <c r="K15" s="13"/>
      <c r="L15" s="14"/>
      <c r="M15" s="14"/>
      <c r="N15" s="12">
        <f>SUM(N11:N14)</f>
        <v>0.64403356256937827</v>
      </c>
      <c r="O15" s="13"/>
      <c r="P15" s="15"/>
      <c r="Q15" s="9"/>
    </row>
    <row r="16" spans="1:28" ht="15.75" thickBot="1">
      <c r="A16" s="114"/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26"/>
      <c r="P16" s="15"/>
      <c r="Q16" s="9"/>
    </row>
    <row r="17" spans="1:17" ht="34.5" thickBot="1">
      <c r="A17" s="27"/>
      <c r="B17" s="4" t="s">
        <v>46</v>
      </c>
      <c r="C17" s="5" t="s">
        <v>17</v>
      </c>
      <c r="D17" s="4" t="s">
        <v>47</v>
      </c>
      <c r="E17" s="95" t="s">
        <v>48</v>
      </c>
      <c r="F17" s="96"/>
      <c r="G17" s="96"/>
      <c r="H17" s="97"/>
      <c r="I17" s="95" t="s">
        <v>49</v>
      </c>
      <c r="J17" s="96"/>
      <c r="K17" s="97"/>
      <c r="L17" s="4" t="s">
        <v>21</v>
      </c>
      <c r="M17" s="14"/>
      <c r="N17" s="4" t="s">
        <v>50</v>
      </c>
      <c r="O17" s="27"/>
      <c r="P17" s="28"/>
      <c r="Q17" s="15"/>
    </row>
    <row r="18" spans="1:17" ht="15" customHeight="1" thickBot="1">
      <c r="A18" s="27"/>
      <c r="B18" s="29" t="s">
        <v>51</v>
      </c>
      <c r="C18" s="30">
        <f>2*11.5</f>
        <v>23</v>
      </c>
      <c r="D18" s="29">
        <v>10</v>
      </c>
      <c r="E18" s="92">
        <v>250</v>
      </c>
      <c r="F18" s="93"/>
      <c r="G18" s="93"/>
      <c r="H18" s="94"/>
      <c r="I18" s="92">
        <v>250</v>
      </c>
      <c r="J18" s="93"/>
      <c r="K18" s="94"/>
      <c r="L18" s="30">
        <f>(1000/E18)*(PI()*D18^2/4)/I18*1000</f>
        <v>1256.6370614359173</v>
      </c>
      <c r="M18" s="26"/>
      <c r="N18" s="30">
        <f>C18*L18/10^6</f>
        <v>2.89026524130261E-2</v>
      </c>
      <c r="O18" s="27"/>
      <c r="P18" s="28"/>
      <c r="Q18" s="15"/>
    </row>
    <row r="19" spans="1:17" ht="15.75" thickBot="1">
      <c r="A19" s="27"/>
      <c r="B19" s="29" t="s">
        <v>39</v>
      </c>
      <c r="C19" s="30">
        <f>2*11.75</f>
        <v>23.5</v>
      </c>
      <c r="D19" s="29">
        <v>12</v>
      </c>
      <c r="E19" s="92">
        <v>250</v>
      </c>
      <c r="F19" s="93"/>
      <c r="G19" s="93"/>
      <c r="H19" s="94"/>
      <c r="I19" s="92">
        <v>250</v>
      </c>
      <c r="J19" s="93"/>
      <c r="K19" s="94"/>
      <c r="L19" s="30">
        <f t="shared" ref="L19:L20" si="2">(1000/E19)*(PI()*D19^2/4)/I19*1000</f>
        <v>1809.5573684677208</v>
      </c>
      <c r="M19" s="4"/>
      <c r="N19" s="30">
        <f t="shared" ref="N19:N20" si="3">C19*L19/10^6</f>
        <v>4.2524598158991435E-2</v>
      </c>
      <c r="O19" s="27"/>
      <c r="P19" s="28"/>
      <c r="Q19" s="15"/>
    </row>
    <row r="20" spans="1:17" ht="15.75" thickBot="1">
      <c r="A20" s="27"/>
      <c r="B20" s="29" t="s">
        <v>52</v>
      </c>
      <c r="C20" s="30">
        <f>2*11.75</f>
        <v>23.5</v>
      </c>
      <c r="D20" s="29">
        <v>10</v>
      </c>
      <c r="E20" s="92">
        <v>250</v>
      </c>
      <c r="F20" s="93"/>
      <c r="G20" s="93"/>
      <c r="H20" s="94"/>
      <c r="I20" s="92">
        <v>250</v>
      </c>
      <c r="J20" s="93"/>
      <c r="K20" s="94"/>
      <c r="L20" s="30">
        <f t="shared" si="2"/>
        <v>1256.6370614359173</v>
      </c>
      <c r="M20" s="30"/>
      <c r="N20" s="30">
        <f t="shared" si="3"/>
        <v>2.9530970943744059E-2</v>
      </c>
      <c r="O20" s="27"/>
      <c r="P20" s="28"/>
      <c r="Q20" s="15"/>
    </row>
    <row r="21" spans="1:17" ht="15.75" thickBot="1">
      <c r="A21" s="27"/>
      <c r="B21" s="29" t="s">
        <v>53</v>
      </c>
      <c r="C21" s="29"/>
      <c r="D21" s="29"/>
      <c r="E21" s="92"/>
      <c r="F21" s="93"/>
      <c r="G21" s="93"/>
      <c r="H21" s="94"/>
      <c r="I21" s="92"/>
      <c r="J21" s="93"/>
      <c r="K21" s="94"/>
      <c r="L21" s="30"/>
      <c r="M21" s="30"/>
      <c r="N21" s="30">
        <f>SUM(N18:N20)</f>
        <v>0.1009582215157616</v>
      </c>
      <c r="O21" s="27"/>
      <c r="P21" s="28"/>
      <c r="Q21" s="15"/>
    </row>
    <row r="22" spans="1:17">
      <c r="A22" s="112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27"/>
      <c r="P22" s="15"/>
      <c r="Q22" s="9"/>
    </row>
    <row r="23" spans="1:17" ht="15.75" thickBot="1">
      <c r="A23" s="100" t="s">
        <v>54</v>
      </c>
      <c r="B23" s="100"/>
      <c r="C23" s="100"/>
      <c r="D23" s="100"/>
      <c r="E23" s="100"/>
      <c r="F23" s="100"/>
      <c r="G23" s="100"/>
      <c r="H23" s="100"/>
      <c r="I23" s="100"/>
      <c r="J23" s="100"/>
      <c r="K23" s="32">
        <f>(N15+N8+N21)/(C15*0.75)</f>
        <v>1.4221566607620724E-2</v>
      </c>
      <c r="L23" s="33"/>
      <c r="M23" s="30"/>
      <c r="N23" s="34"/>
      <c r="P23" s="15"/>
      <c r="Q23" s="9"/>
    </row>
    <row r="24" spans="1:17">
      <c r="A24" s="100" t="s">
        <v>55</v>
      </c>
      <c r="B24" s="100"/>
      <c r="C24" s="100"/>
      <c r="D24" s="100"/>
      <c r="E24" s="100"/>
      <c r="F24" s="100"/>
      <c r="G24" s="100"/>
      <c r="H24" s="100"/>
      <c r="I24" s="100"/>
      <c r="J24" s="100"/>
      <c r="K24" s="32">
        <f>1.3*K23</f>
        <v>1.8488036589906942E-2</v>
      </c>
      <c r="L24" s="33"/>
      <c r="M24" s="41"/>
      <c r="N24" s="34"/>
      <c r="P24" s="15"/>
      <c r="Q24" s="9"/>
    </row>
    <row r="25" spans="1:17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6"/>
      <c r="L25" s="36"/>
      <c r="M25" s="33"/>
      <c r="N25" s="34"/>
      <c r="P25" s="15"/>
      <c r="Q25" s="9"/>
    </row>
    <row r="26" spans="1:17">
      <c r="A26" s="101" t="s">
        <v>56</v>
      </c>
      <c r="B26" s="101"/>
      <c r="C26" s="101"/>
      <c r="D26" s="101"/>
      <c r="E26" s="101"/>
      <c r="F26" s="101"/>
      <c r="G26" s="101"/>
      <c r="H26" s="101"/>
      <c r="I26" s="101"/>
      <c r="J26" s="101"/>
      <c r="K26" s="38">
        <f>(N15+N8+N21)</f>
        <v>1.4412668908910629</v>
      </c>
      <c r="L26" s="36" t="s">
        <v>57</v>
      </c>
      <c r="M26" s="33"/>
      <c r="N26" s="34"/>
      <c r="P26" s="15"/>
      <c r="Q26" s="9"/>
    </row>
    <row r="27" spans="1:17">
      <c r="A27" s="101" t="s">
        <v>58</v>
      </c>
      <c r="B27" s="101"/>
      <c r="C27" s="101"/>
      <c r="D27" s="101"/>
      <c r="E27" s="101"/>
      <c r="F27" s="101"/>
      <c r="G27" s="101"/>
      <c r="H27" s="101"/>
      <c r="I27" s="101"/>
      <c r="J27" s="101"/>
      <c r="K27" s="39">
        <f>K26*7850</f>
        <v>11313.945093494844</v>
      </c>
      <c r="L27" s="36" t="s">
        <v>59</v>
      </c>
      <c r="M27" s="36"/>
      <c r="N27" s="34"/>
      <c r="P27" s="15"/>
      <c r="Q27" s="9"/>
    </row>
    <row r="28" spans="1:17">
      <c r="A28" s="98" t="s">
        <v>60</v>
      </c>
      <c r="B28" s="98"/>
      <c r="C28" s="98"/>
      <c r="D28" s="98"/>
      <c r="E28" s="98"/>
      <c r="F28" s="98"/>
      <c r="G28" s="98"/>
      <c r="H28" s="98"/>
      <c r="I28" s="98"/>
      <c r="J28" s="98"/>
      <c r="K28" s="40">
        <f>K27/(C15*0.75)</f>
        <v>111.6392978698227</v>
      </c>
      <c r="L28" s="41" t="s">
        <v>61</v>
      </c>
      <c r="M28" s="36"/>
      <c r="N28" s="34"/>
    </row>
    <row r="29" spans="1:17">
      <c r="A29" s="98" t="s">
        <v>62</v>
      </c>
      <c r="B29" s="98"/>
      <c r="C29" s="98"/>
      <c r="D29" s="98"/>
      <c r="E29" s="98"/>
      <c r="F29" s="98"/>
      <c r="G29" s="98"/>
      <c r="H29" s="98"/>
      <c r="I29" s="98"/>
      <c r="J29" s="98"/>
      <c r="K29" s="40">
        <f>1.3*K28</f>
        <v>145.13108723076951</v>
      </c>
      <c r="L29" s="41" t="s">
        <v>61</v>
      </c>
      <c r="M29" s="36"/>
      <c r="N29" s="34"/>
    </row>
    <row r="30" spans="1:17">
      <c r="M30" s="41"/>
    </row>
    <row r="31" spans="1:17">
      <c r="M31" s="41"/>
    </row>
  </sheetData>
  <mergeCells count="25">
    <mergeCell ref="E1:G1"/>
    <mergeCell ref="H1:J1"/>
    <mergeCell ref="Q2:Q3"/>
    <mergeCell ref="A9:N9"/>
    <mergeCell ref="E10:G10"/>
    <mergeCell ref="H10:J10"/>
    <mergeCell ref="Q11:Q12"/>
    <mergeCell ref="A16:N16"/>
    <mergeCell ref="E17:H17"/>
    <mergeCell ref="I17:K17"/>
    <mergeCell ref="E18:H18"/>
    <mergeCell ref="I18:K18"/>
    <mergeCell ref="E19:H19"/>
    <mergeCell ref="I19:K19"/>
    <mergeCell ref="E20:H20"/>
    <mergeCell ref="I20:K20"/>
    <mergeCell ref="E21:H21"/>
    <mergeCell ref="I21:K21"/>
    <mergeCell ref="A29:J29"/>
    <mergeCell ref="A22:N22"/>
    <mergeCell ref="A23:J23"/>
    <mergeCell ref="A24:J24"/>
    <mergeCell ref="A26:J26"/>
    <mergeCell ref="A27:J27"/>
    <mergeCell ref="A28:J28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252C9-2987-4A4A-9F2D-4F4E98632C19}">
  <sheetPr codeName="Sheet10"/>
  <dimension ref="A1:X31"/>
  <sheetViews>
    <sheetView zoomScale="145" zoomScaleNormal="145" workbookViewId="0">
      <selection activeCell="P3" sqref="P3"/>
    </sheetView>
  </sheetViews>
  <sheetFormatPr defaultRowHeight="15"/>
  <cols>
    <col min="1" max="1" width="14.25" style="9" bestFit="1" customWidth="1"/>
    <col min="2" max="2" width="9.125" style="9" bestFit="1" customWidth="1"/>
    <col min="3" max="3" width="8" style="9" bestFit="1" customWidth="1"/>
    <col min="4" max="4" width="6.75" style="9" bestFit="1" customWidth="1"/>
    <col min="5" max="5" width="2.375" style="9" bestFit="1" customWidth="1"/>
    <col min="6" max="6" width="1.875" style="9" bestFit="1" customWidth="1"/>
    <col min="7" max="7" width="3.125" style="9" bestFit="1" customWidth="1"/>
    <col min="8" max="8" width="2.375" style="9" bestFit="1" customWidth="1"/>
    <col min="9" max="9" width="2.25" style="9" bestFit="1" customWidth="1"/>
    <col min="10" max="10" width="3.125" style="9" bestFit="1" customWidth="1"/>
    <col min="11" max="11" width="6.875" style="9" bestFit="1" customWidth="1"/>
    <col min="12" max="12" width="9.125" style="9" bestFit="1" customWidth="1"/>
    <col min="13" max="13" width="9.625" style="9" customWidth="1"/>
    <col min="14" max="14" width="9.25" style="9" bestFit="1" customWidth="1"/>
    <col min="15" max="15" width="7.125" style="9" customWidth="1"/>
    <col min="16" max="21" width="9" style="9"/>
    <col min="22" max="22" width="12.25" style="9" bestFit="1" customWidth="1"/>
    <col min="23" max="16384" width="9" style="9"/>
  </cols>
  <sheetData>
    <row r="1" spans="1:24" ht="36.75" customHeight="1" thickBot="1">
      <c r="A1" s="77" t="s">
        <v>84</v>
      </c>
      <c r="B1" s="44" t="s">
        <v>64</v>
      </c>
      <c r="C1" s="5" t="s">
        <v>17</v>
      </c>
      <c r="D1" s="5" t="s">
        <v>18</v>
      </c>
      <c r="E1" s="95" t="s">
        <v>19</v>
      </c>
      <c r="F1" s="96"/>
      <c r="G1" s="97"/>
      <c r="H1" s="95" t="s">
        <v>20</v>
      </c>
      <c r="I1" s="96"/>
      <c r="J1" s="97"/>
      <c r="K1" s="5" t="s">
        <v>21</v>
      </c>
      <c r="L1" s="5" t="s">
        <v>22</v>
      </c>
      <c r="M1" s="78" t="s">
        <v>88</v>
      </c>
      <c r="N1" s="5" t="s">
        <v>23</v>
      </c>
      <c r="O1" s="5" t="s">
        <v>24</v>
      </c>
      <c r="Q1" s="8"/>
      <c r="R1" s="8" t="s">
        <v>25</v>
      </c>
      <c r="S1" s="8" t="s">
        <v>26</v>
      </c>
      <c r="T1" s="8" t="s">
        <v>27</v>
      </c>
      <c r="U1" s="8" t="s">
        <v>28</v>
      </c>
      <c r="V1" s="8" t="s">
        <v>29</v>
      </c>
      <c r="W1" s="8" t="s">
        <v>30</v>
      </c>
      <c r="X1" s="8" t="s">
        <v>31</v>
      </c>
    </row>
    <row r="2" spans="1:24" ht="15.75" thickBot="1">
      <c r="A2" s="46" t="s">
        <v>32</v>
      </c>
      <c r="B2" s="47" t="s">
        <v>33</v>
      </c>
      <c r="C2" s="48">
        <f>C4</f>
        <v>49.9375</v>
      </c>
      <c r="D2" s="73">
        <v>185</v>
      </c>
      <c r="E2" s="11">
        <v>25</v>
      </c>
      <c r="F2" s="11" t="s">
        <v>34</v>
      </c>
      <c r="G2" s="11">
        <v>250</v>
      </c>
      <c r="H2" s="11"/>
      <c r="I2" s="11"/>
      <c r="J2" s="11"/>
      <c r="K2" s="13">
        <f>VLOOKUP(_xlfn.CONCAT(E2,F2,G2,H2,I2,J2),'[1]reinf variations'!$H$2:$J$12,2, FALSE)</f>
        <v>1963.4954084936207</v>
      </c>
      <c r="L2" s="14">
        <v>0.29599999999999999</v>
      </c>
      <c r="M2" s="14"/>
      <c r="N2" s="12">
        <f>K2*C2/10^6</f>
        <v>9.8052051961650177E-2</v>
      </c>
      <c r="O2" s="13">
        <f>VLOOKUP(_xlfn.CONCAT(E2,F2,G2,H2,I2,J2),'[1]reinf variations'!$H$2:$J$12,3, FALSE)</f>
        <v>265</v>
      </c>
      <c r="Q2" s="110" t="s">
        <v>44</v>
      </c>
      <c r="R2" s="16" t="s">
        <v>33</v>
      </c>
      <c r="S2" s="16">
        <v>75</v>
      </c>
      <c r="T2" s="16">
        <v>70</v>
      </c>
      <c r="U2" s="16">
        <v>65</v>
      </c>
      <c r="V2" s="16">
        <v>185</v>
      </c>
      <c r="W2" s="16">
        <v>0.29599999999999999</v>
      </c>
      <c r="X2" s="8">
        <v>269</v>
      </c>
    </row>
    <row r="3" spans="1:24" ht="15.75" thickBot="1">
      <c r="A3" s="46" t="s">
        <v>32</v>
      </c>
      <c r="B3" s="47" t="s">
        <v>36</v>
      </c>
      <c r="C3" s="48">
        <f>C4</f>
        <v>49.9375</v>
      </c>
      <c r="D3" s="17">
        <v>290</v>
      </c>
      <c r="E3" s="11">
        <v>25</v>
      </c>
      <c r="F3" s="11" t="s">
        <v>34</v>
      </c>
      <c r="G3" s="11">
        <v>250</v>
      </c>
      <c r="H3" s="11"/>
      <c r="I3" s="11"/>
      <c r="J3" s="11"/>
      <c r="K3" s="13">
        <f>VLOOKUP(_xlfn.CONCAT(E3,F3,G3,H3,I3,J3),'[1]reinf variations'!$H$2:$J$12,2, FALSE)</f>
        <v>1963.4954084936207</v>
      </c>
      <c r="L3" s="14">
        <v>0.29399999999999998</v>
      </c>
      <c r="M3" s="14"/>
      <c r="N3" s="12">
        <f>K3*C3/10^6</f>
        <v>9.8052051961650177E-2</v>
      </c>
      <c r="O3" s="13">
        <f>VLOOKUP(_xlfn.CONCAT(E3,F3,G3,H3,I3,J3),'[1]reinf variations'!$H$2:$J$12,3, FALSE)</f>
        <v>265</v>
      </c>
      <c r="Q3" s="111"/>
      <c r="R3" s="19" t="s">
        <v>36</v>
      </c>
      <c r="S3" s="19">
        <v>50</v>
      </c>
      <c r="T3" s="19">
        <v>45</v>
      </c>
      <c r="U3" s="19">
        <v>40</v>
      </c>
      <c r="V3" s="19">
        <v>290</v>
      </c>
      <c r="W3" s="20">
        <v>0.29399999999999998</v>
      </c>
      <c r="X3" s="19">
        <v>274</v>
      </c>
    </row>
    <row r="4" spans="1:24" ht="15.75" thickBot="1">
      <c r="A4" s="51" t="s">
        <v>42</v>
      </c>
      <c r="B4" s="47"/>
      <c r="C4" s="48">
        <f>4.25*11.75</f>
        <v>49.9375</v>
      </c>
      <c r="D4" s="47"/>
      <c r="E4" s="11"/>
      <c r="F4" s="11"/>
      <c r="G4" s="11"/>
      <c r="H4" s="11"/>
      <c r="I4" s="11"/>
      <c r="J4" s="11"/>
      <c r="K4" s="11"/>
      <c r="L4" s="11"/>
      <c r="M4" s="14"/>
      <c r="N4" s="12">
        <f>SUM(N2:N3)</f>
        <v>0.19610410392330035</v>
      </c>
      <c r="O4" s="5"/>
    </row>
    <row r="5" spans="1:24" ht="15.75" thickBot="1">
      <c r="A5" s="107"/>
      <c r="B5" s="107"/>
      <c r="C5" s="107"/>
      <c r="D5" s="107"/>
      <c r="E5" s="107"/>
      <c r="F5" s="107"/>
      <c r="G5" s="107"/>
      <c r="H5" s="107"/>
      <c r="I5" s="107"/>
      <c r="J5" s="107"/>
      <c r="K5" s="53"/>
      <c r="L5" s="53"/>
      <c r="M5" s="14"/>
      <c r="N5" s="53"/>
      <c r="O5" s="12"/>
      <c r="P5" s="25"/>
    </row>
    <row r="6" spans="1:24" ht="36.75" customHeight="1" thickBot="1">
      <c r="A6" s="77" t="s">
        <v>83</v>
      </c>
      <c r="B6" s="44" t="s">
        <v>64</v>
      </c>
      <c r="C6" s="55" t="s">
        <v>68</v>
      </c>
      <c r="D6" s="55" t="s">
        <v>69</v>
      </c>
      <c r="E6" s="95" t="s">
        <v>19</v>
      </c>
      <c r="F6" s="96"/>
      <c r="G6" s="97"/>
      <c r="H6" s="95" t="s">
        <v>20</v>
      </c>
      <c r="I6" s="96"/>
      <c r="J6" s="97"/>
      <c r="K6" s="5" t="s">
        <v>21</v>
      </c>
      <c r="L6" s="5" t="s">
        <v>22</v>
      </c>
      <c r="M6" s="14"/>
      <c r="N6" s="5" t="s">
        <v>23</v>
      </c>
      <c r="O6" s="5" t="s">
        <v>24</v>
      </c>
      <c r="Q6" s="8"/>
      <c r="R6" s="8" t="s">
        <v>25</v>
      </c>
      <c r="S6" s="8" t="s">
        <v>26</v>
      </c>
      <c r="T6" s="8" t="s">
        <v>27</v>
      </c>
      <c r="U6" s="8" t="s">
        <v>28</v>
      </c>
      <c r="V6" s="8" t="s">
        <v>29</v>
      </c>
      <c r="W6" s="8" t="s">
        <v>30</v>
      </c>
      <c r="X6" s="8" t="s">
        <v>31</v>
      </c>
    </row>
    <row r="7" spans="1:24" ht="15.75" thickBot="1">
      <c r="A7" s="46" t="s">
        <v>70</v>
      </c>
      <c r="B7" s="47" t="s">
        <v>33</v>
      </c>
      <c r="C7" s="48">
        <f>C10-C9</f>
        <v>29.375</v>
      </c>
      <c r="D7" s="72">
        <v>215</v>
      </c>
      <c r="E7" s="11">
        <v>25</v>
      </c>
      <c r="F7" s="11" t="s">
        <v>34</v>
      </c>
      <c r="G7" s="11">
        <v>250</v>
      </c>
      <c r="H7" s="11"/>
      <c r="I7" s="11"/>
      <c r="J7" s="11"/>
      <c r="K7" s="13">
        <f>VLOOKUP(_xlfn.CONCAT(E7,F7,G7,H7,I7,J7),'[1]reinf variations'!$H$2:$J$12,2, FALSE)</f>
        <v>1963.4954084936207</v>
      </c>
      <c r="L7" s="14">
        <v>0.29599999999999999</v>
      </c>
      <c r="M7" s="14"/>
      <c r="N7" s="12">
        <f>K7*C7/10^6</f>
        <v>5.7677677624500108E-2</v>
      </c>
      <c r="O7" s="13">
        <f>VLOOKUP(_xlfn.CONCAT(E7,F7,G7,H7,I7,J7),'[1]reinf variations'!$H$2:$J$12,3, FALSE)</f>
        <v>265</v>
      </c>
      <c r="Q7" s="110" t="s">
        <v>35</v>
      </c>
      <c r="R7" s="16" t="s">
        <v>33</v>
      </c>
      <c r="S7" s="16">
        <v>70</v>
      </c>
      <c r="T7" s="16">
        <v>75</v>
      </c>
      <c r="U7" s="16">
        <v>55</v>
      </c>
      <c r="V7" s="16">
        <v>215</v>
      </c>
      <c r="W7" s="16">
        <v>0.29599999999999999</v>
      </c>
      <c r="X7" s="8">
        <v>270</v>
      </c>
    </row>
    <row r="8" spans="1:24" ht="15.75" thickBot="1">
      <c r="A8" s="46" t="s">
        <v>70</v>
      </c>
      <c r="B8" s="47" t="s">
        <v>36</v>
      </c>
      <c r="C8" s="48">
        <f>C10</f>
        <v>49.9375</v>
      </c>
      <c r="D8" s="17">
        <v>160</v>
      </c>
      <c r="E8" s="11">
        <v>25</v>
      </c>
      <c r="F8" s="11" t="s">
        <v>34</v>
      </c>
      <c r="G8" s="11">
        <v>250</v>
      </c>
      <c r="H8" s="11"/>
      <c r="I8" s="11"/>
      <c r="J8" s="11"/>
      <c r="K8" s="13">
        <f>VLOOKUP(_xlfn.CONCAT(E8,F8,G8,H8,I8,J8),'[1]reinf variations'!$H$2:$J$12,2, FALSE)</f>
        <v>1963.4954084936207</v>
      </c>
      <c r="L8" s="14">
        <v>0.29099999999999998</v>
      </c>
      <c r="M8" s="14"/>
      <c r="N8" s="12">
        <f t="shared" ref="N8:N9" si="0">K8*C8/10^6</f>
        <v>9.8052051961650177E-2</v>
      </c>
      <c r="O8" s="13">
        <f>VLOOKUP(_xlfn.CONCAT(E8,F8,G8,H8,I8,J8),'[1]reinf variations'!$H$2:$J$12,3, FALSE)</f>
        <v>265</v>
      </c>
      <c r="Q8" s="111"/>
      <c r="R8" s="19" t="s">
        <v>36</v>
      </c>
      <c r="S8" s="19">
        <v>45</v>
      </c>
      <c r="T8" s="19">
        <v>50</v>
      </c>
      <c r="U8" s="19">
        <v>30</v>
      </c>
      <c r="V8" s="19">
        <v>160</v>
      </c>
      <c r="W8" s="20">
        <v>0.29099999999999998</v>
      </c>
      <c r="X8" s="19">
        <v>275</v>
      </c>
    </row>
    <row r="9" spans="1:24" ht="15.75" thickBot="1">
      <c r="A9" s="46" t="s">
        <v>39</v>
      </c>
      <c r="B9" s="47" t="s">
        <v>33</v>
      </c>
      <c r="C9" s="48">
        <f>1.75*11.75</f>
        <v>20.5625</v>
      </c>
      <c r="D9" s="74">
        <v>675</v>
      </c>
      <c r="E9" s="11">
        <v>25</v>
      </c>
      <c r="F9" s="11" t="s">
        <v>34</v>
      </c>
      <c r="G9" s="11">
        <v>125</v>
      </c>
      <c r="H9" s="11">
        <v>25</v>
      </c>
      <c r="I9" s="11" t="s">
        <v>34</v>
      </c>
      <c r="J9" s="11">
        <v>250</v>
      </c>
      <c r="K9" s="13">
        <f>VLOOKUP(_xlfn.CONCAT(E9,F9,G9,H9,I9,J9),'[1]reinf variations'!$H$2:$J$12,2, FALSE)</f>
        <v>5890.4862254808622</v>
      </c>
      <c r="L9" s="14">
        <v>0.27623076412814246</v>
      </c>
      <c r="M9" s="14"/>
      <c r="N9" s="12">
        <f t="shared" si="0"/>
        <v>0.12112312301145023</v>
      </c>
      <c r="O9" s="13">
        <f>VLOOKUP(_xlfn.CONCAT(E9,F9,G9,H9,I9,J9),'[1]reinf variations'!$H$2:$J$12,3, FALSE)</f>
        <v>385</v>
      </c>
    </row>
    <row r="10" spans="1:24" ht="15.75" thickBot="1">
      <c r="A10" s="51" t="s">
        <v>42</v>
      </c>
      <c r="B10" s="47"/>
      <c r="C10" s="48">
        <f>4.25*11.75</f>
        <v>49.9375</v>
      </c>
      <c r="D10" s="47"/>
      <c r="E10" s="11"/>
      <c r="F10" s="11"/>
      <c r="G10" s="11"/>
      <c r="H10" s="11"/>
      <c r="I10" s="11"/>
      <c r="J10" s="11"/>
      <c r="K10" s="11"/>
      <c r="L10" s="11"/>
      <c r="M10" s="11"/>
      <c r="N10" s="12">
        <f>SUM(N7:N9)</f>
        <v>0.27685285259760051</v>
      </c>
      <c r="O10" s="12"/>
    </row>
    <row r="11" spans="1:24" ht="15.75" thickBot="1">
      <c r="A11" s="107"/>
      <c r="B11" s="107"/>
      <c r="C11" s="107"/>
      <c r="D11" s="107"/>
      <c r="E11" s="107"/>
      <c r="F11" s="107"/>
      <c r="G11" s="107"/>
      <c r="H11" s="107"/>
      <c r="I11" s="107"/>
      <c r="J11" s="107"/>
      <c r="M11" s="14"/>
    </row>
    <row r="12" spans="1:24" ht="45.75" thickBot="1">
      <c r="A12" s="27"/>
      <c r="B12" s="4" t="s">
        <v>46</v>
      </c>
      <c r="C12" s="5" t="s">
        <v>17</v>
      </c>
      <c r="D12" s="4" t="s">
        <v>47</v>
      </c>
      <c r="E12" s="95" t="s">
        <v>48</v>
      </c>
      <c r="F12" s="96"/>
      <c r="G12" s="96"/>
      <c r="H12" s="97"/>
      <c r="I12" s="95" t="s">
        <v>49</v>
      </c>
      <c r="J12" s="96"/>
      <c r="K12" s="97"/>
      <c r="L12" s="4" t="s">
        <v>21</v>
      </c>
      <c r="M12" s="5"/>
      <c r="N12" s="4" t="s">
        <v>50</v>
      </c>
      <c r="O12" s="27"/>
      <c r="P12" s="28"/>
      <c r="Q12" s="15"/>
    </row>
    <row r="13" spans="1:24" ht="23.25" thickBot="1">
      <c r="A13" s="27"/>
      <c r="B13" s="29" t="s">
        <v>87</v>
      </c>
      <c r="C13" s="48">
        <f>1.75*11.75</f>
        <v>20.5625</v>
      </c>
      <c r="D13" s="29">
        <v>12</v>
      </c>
      <c r="E13" s="92">
        <v>250</v>
      </c>
      <c r="F13" s="93"/>
      <c r="G13" s="93"/>
      <c r="H13" s="94"/>
      <c r="I13" s="92">
        <v>250</v>
      </c>
      <c r="J13" s="93"/>
      <c r="K13" s="94"/>
      <c r="L13" s="30">
        <f>(1000/E13)*(PI()*D13^2/4)/I13*1000</f>
        <v>1809.5573684677208</v>
      </c>
      <c r="M13" s="30"/>
      <c r="N13" s="30">
        <f>C13*L13/10^6</f>
        <v>3.720902338911751E-2</v>
      </c>
      <c r="O13" s="27"/>
      <c r="P13" s="28"/>
      <c r="Q13" s="15"/>
    </row>
    <row r="14" spans="1:24" ht="15.75" thickBot="1">
      <c r="A14" s="27"/>
      <c r="B14" s="29" t="s">
        <v>53</v>
      </c>
      <c r="C14" s="29"/>
      <c r="D14" s="29"/>
      <c r="E14" s="92"/>
      <c r="F14" s="93"/>
      <c r="G14" s="93"/>
      <c r="H14" s="94"/>
      <c r="I14" s="92"/>
      <c r="J14" s="93"/>
      <c r="K14" s="94"/>
      <c r="L14" s="30"/>
      <c r="M14" s="27"/>
      <c r="N14" s="30">
        <f>SUM(N13:N13)</f>
        <v>3.720902338911751E-2</v>
      </c>
      <c r="O14" s="27"/>
      <c r="P14" s="28"/>
      <c r="Q14" s="15"/>
    </row>
    <row r="15" spans="1:24">
      <c r="A15" s="27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27"/>
      <c r="P15" s="28"/>
      <c r="Q15" s="15"/>
    </row>
    <row r="16" spans="1:24" ht="15" customHeight="1">
      <c r="A16" s="108" t="s">
        <v>54</v>
      </c>
      <c r="B16" s="108"/>
      <c r="C16" s="108"/>
      <c r="D16" s="108"/>
      <c r="E16" s="108"/>
      <c r="F16" s="108"/>
      <c r="G16" s="108"/>
      <c r="H16" s="108"/>
      <c r="I16" s="108"/>
      <c r="J16" s="108"/>
      <c r="K16" s="65">
        <f>(N10+N4+N14)/(C10*0.75)</f>
        <v>1.3621452947117718E-2</v>
      </c>
      <c r="L16" s="66"/>
      <c r="M16" s="66"/>
      <c r="N16" s="68"/>
    </row>
    <row r="17" spans="1:14" ht="15.75" thickBot="1">
      <c r="A17" s="98" t="s">
        <v>55</v>
      </c>
      <c r="B17" s="98"/>
      <c r="C17" s="98"/>
      <c r="D17" s="98"/>
      <c r="E17" s="98"/>
      <c r="F17" s="98"/>
      <c r="G17" s="98"/>
      <c r="H17" s="98"/>
      <c r="I17" s="98"/>
      <c r="J17" s="98"/>
      <c r="K17" s="65">
        <f>1.3*K16</f>
        <v>1.7707888831253033E-2</v>
      </c>
      <c r="L17" s="66"/>
      <c r="M17" s="14"/>
      <c r="N17" s="68"/>
    </row>
    <row r="18" spans="1:14" ht="15.75" thickBot="1">
      <c r="A18" s="116"/>
      <c r="B18" s="116"/>
      <c r="C18" s="116"/>
      <c r="D18" s="116"/>
      <c r="E18" s="116"/>
      <c r="F18" s="116"/>
      <c r="G18" s="116"/>
      <c r="H18" s="116"/>
      <c r="I18" s="116"/>
      <c r="J18" s="116"/>
      <c r="K18" s="27"/>
      <c r="L18" s="27"/>
      <c r="M18" s="26"/>
      <c r="N18" s="68"/>
    </row>
    <row r="19" spans="1:14" ht="15.75" thickBot="1">
      <c r="A19" s="116" t="s">
        <v>56</v>
      </c>
      <c r="B19" s="116"/>
      <c r="C19" s="116"/>
      <c r="D19" s="116"/>
      <c r="E19" s="116"/>
      <c r="F19" s="116"/>
      <c r="G19" s="116"/>
      <c r="H19" s="116"/>
      <c r="I19" s="116"/>
      <c r="J19" s="116"/>
      <c r="K19" s="67">
        <f>(N10+N4+N14)</f>
        <v>0.51016597991001833</v>
      </c>
      <c r="L19" s="27" t="s">
        <v>57</v>
      </c>
      <c r="M19" s="4"/>
      <c r="N19" s="68"/>
    </row>
    <row r="20" spans="1:14" ht="15.75" thickBot="1">
      <c r="A20" s="117" t="s">
        <v>58</v>
      </c>
      <c r="B20" s="117"/>
      <c r="C20" s="117"/>
      <c r="D20" s="117"/>
      <c r="E20" s="117"/>
      <c r="F20" s="117"/>
      <c r="G20" s="117"/>
      <c r="H20" s="117"/>
      <c r="I20" s="117"/>
      <c r="J20" s="117"/>
      <c r="K20" s="69">
        <f>K19*7850</f>
        <v>4004.8029422936438</v>
      </c>
      <c r="L20" s="27" t="s">
        <v>59</v>
      </c>
      <c r="M20" s="30"/>
      <c r="N20" s="68"/>
    </row>
    <row r="21" spans="1:14" ht="15.75" thickBot="1">
      <c r="A21" s="116" t="s">
        <v>60</v>
      </c>
      <c r="B21" s="116"/>
      <c r="C21" s="116"/>
      <c r="D21" s="116"/>
      <c r="E21" s="116"/>
      <c r="F21" s="116"/>
      <c r="G21" s="116"/>
      <c r="H21" s="116"/>
      <c r="I21" s="116"/>
      <c r="J21" s="116"/>
      <c r="K21" s="70">
        <f>K20/(C10*0.75)</f>
        <v>106.9284056348741</v>
      </c>
      <c r="L21" s="71" t="s">
        <v>61</v>
      </c>
      <c r="M21" s="30"/>
      <c r="N21" s="68"/>
    </row>
    <row r="22" spans="1:14">
      <c r="A22" s="116" t="s">
        <v>62</v>
      </c>
      <c r="B22" s="116"/>
      <c r="C22" s="116"/>
      <c r="D22" s="116"/>
      <c r="E22" s="116"/>
      <c r="F22" s="116"/>
      <c r="G22" s="116"/>
      <c r="H22" s="116"/>
      <c r="I22" s="116"/>
      <c r="J22" s="116"/>
      <c r="K22" s="70">
        <f>1.3*K21</f>
        <v>139.00692732533633</v>
      </c>
      <c r="L22" s="71" t="s">
        <v>61</v>
      </c>
      <c r="M22" s="71"/>
      <c r="N22" s="68"/>
    </row>
    <row r="23" spans="1:14" ht="15.75" thickBot="1">
      <c r="M23" s="30"/>
    </row>
    <row r="24" spans="1:14">
      <c r="M24" s="41"/>
    </row>
    <row r="25" spans="1:14">
      <c r="M25" s="33"/>
    </row>
    <row r="26" spans="1:14">
      <c r="M26" s="33"/>
    </row>
    <row r="27" spans="1:14">
      <c r="M27" s="36"/>
    </row>
    <row r="28" spans="1:14">
      <c r="M28" s="36"/>
    </row>
    <row r="29" spans="1:14">
      <c r="M29" s="36"/>
    </row>
    <row r="30" spans="1:14">
      <c r="M30" s="41"/>
    </row>
    <row r="31" spans="1:14">
      <c r="M31" s="41"/>
    </row>
  </sheetData>
  <mergeCells count="22">
    <mergeCell ref="E1:G1"/>
    <mergeCell ref="H1:J1"/>
    <mergeCell ref="Q2:Q3"/>
    <mergeCell ref="A5:J5"/>
    <mergeCell ref="E6:G6"/>
    <mergeCell ref="H6:J6"/>
    <mergeCell ref="Q7:Q8"/>
    <mergeCell ref="A11:J11"/>
    <mergeCell ref="E12:H12"/>
    <mergeCell ref="I12:K12"/>
    <mergeCell ref="E13:H13"/>
    <mergeCell ref="I13:K13"/>
    <mergeCell ref="A19:J19"/>
    <mergeCell ref="A20:J20"/>
    <mergeCell ref="A21:J21"/>
    <mergeCell ref="A22:J22"/>
    <mergeCell ref="E14:H14"/>
    <mergeCell ref="I14:K14"/>
    <mergeCell ref="B15:N15"/>
    <mergeCell ref="A16:J16"/>
    <mergeCell ref="A17:J17"/>
    <mergeCell ref="A18:J18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"/>
  <sheetViews>
    <sheetView tabSelected="1" workbookViewId="0">
      <selection activeCell="F9" sqref="F9"/>
    </sheetView>
  </sheetViews>
  <sheetFormatPr defaultColWidth="11" defaultRowHeight="15.75"/>
  <cols>
    <col min="1" max="1" width="3.125" bestFit="1" customWidth="1"/>
    <col min="2" max="2" width="68.75" bestFit="1" customWidth="1"/>
  </cols>
  <sheetData>
    <row r="1" spans="1:2">
      <c r="A1" t="s">
        <v>106</v>
      </c>
      <c r="B1" t="s">
        <v>107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/>
  <cols>
    <col min="1" max="1" width="14.75" style="1" customWidth="1"/>
    <col min="2" max="2" width="9.25" style="1" customWidth="1"/>
    <col min="3" max="16384" width="8.875" style="1"/>
  </cols>
  <sheetData>
    <row r="1" spans="1:2">
      <c r="A1" s="1" t="s">
        <v>8</v>
      </c>
      <c r="B1" s="1" t="s">
        <v>13</v>
      </c>
    </row>
    <row r="2" spans="1:2">
      <c r="A2" s="1" t="s">
        <v>9</v>
      </c>
    </row>
    <row r="3" spans="1:2">
      <c r="A3" s="1" t="s">
        <v>0</v>
      </c>
    </row>
    <row r="4" spans="1:2">
      <c r="A4" s="1" t="s">
        <v>7</v>
      </c>
    </row>
    <row r="5" spans="1:2">
      <c r="A5" s="1" t="s">
        <v>5</v>
      </c>
    </row>
    <row r="6" spans="1:2">
      <c r="A6" s="1" t="s">
        <v>1</v>
      </c>
    </row>
    <row r="7" spans="1:2">
      <c r="A7" s="1" t="s">
        <v>2</v>
      </c>
      <c r="B7" s="1" t="b">
        <v>0</v>
      </c>
    </row>
    <row r="8" spans="1:2">
      <c r="A8" s="1" t="s">
        <v>3</v>
      </c>
      <c r="B8" s="1" t="b">
        <v>0</v>
      </c>
    </row>
    <row r="9" spans="1:2">
      <c r="A9" s="1" t="s">
        <v>14</v>
      </c>
      <c r="B9" s="1" t="b">
        <v>0</v>
      </c>
    </row>
    <row r="13" spans="1:2">
      <c r="A13" s="2" t="s">
        <v>4</v>
      </c>
    </row>
    <row r="14" spans="1:2">
      <c r="A14" s="1" t="s">
        <v>10</v>
      </c>
    </row>
    <row r="15" spans="1:2">
      <c r="A15" s="1" t="s">
        <v>11</v>
      </c>
    </row>
    <row r="16" spans="1:2">
      <c r="A16" s="1" t="s">
        <v>6</v>
      </c>
    </row>
    <row r="17" spans="1:1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1</vt:lpstr>
      <vt:lpstr>2</vt:lpstr>
      <vt:lpstr>3</vt:lpstr>
      <vt:lpstr>4</vt:lpstr>
      <vt:lpstr>5</vt:lpstr>
      <vt:lpstr>6</vt:lpstr>
      <vt:lpstr>7</vt:lpstr>
      <vt:lpstr>8</vt:lpstr>
      <vt:lpstr>comments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Beliakou, Viktar</cp:lastModifiedBy>
  <dcterms:created xsi:type="dcterms:W3CDTF">2015-01-25T11:31:25Z</dcterms:created>
  <dcterms:modified xsi:type="dcterms:W3CDTF">2021-03-16T14:45:37Z</dcterms:modified>
</cp:coreProperties>
</file>